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0" yWindow="0" windowWidth="23040" windowHeight="8655" activeTab="5"/>
  </bookViews>
  <sheets>
    <sheet name="Грунт" sheetId="1" r:id="rId1"/>
    <sheet name="Щебень" sheetId="4" r:id="rId2"/>
    <sheet name="Подб_Роств" sheetId="6" r:id="rId3"/>
    <sheet name="Ростверки" sheetId="8" r:id="rId4"/>
    <sheet name="Обр_Засып_Роств" sheetId="12" r:id="rId5"/>
    <sheet name="Подб_Лотков" sheetId="9" r:id="rId6"/>
    <sheet name="Днище_Лотков" sheetId="10" r:id="rId7"/>
    <sheet name="Шпонка_Днища" sheetId="13" r:id="rId8"/>
    <sheet name="Стены_Лотков" sheetId="11" r:id="rId9"/>
    <sheet name="Шпонка_Стен" sheetId="14" r:id="rId10"/>
  </sheets>
  <calcPr calcId="145621"/>
</workbook>
</file>

<file path=xl/calcChain.xml><?xml version="1.0" encoding="utf-8"?>
<calcChain xmlns="http://schemas.openxmlformats.org/spreadsheetml/2006/main">
  <c r="E26" i="14" l="1"/>
  <c r="F26" i="14" s="1"/>
  <c r="F25" i="14"/>
  <c r="E25" i="14"/>
  <c r="E24" i="14"/>
  <c r="F24" i="14" s="1"/>
  <c r="G24" i="14" s="1"/>
  <c r="E19" i="14"/>
  <c r="F19" i="14" s="1"/>
  <c r="E18" i="14"/>
  <c r="F18" i="14" s="1"/>
  <c r="E17" i="14"/>
  <c r="F17" i="14" s="1"/>
  <c r="F16" i="14"/>
  <c r="G16" i="14" s="1"/>
  <c r="E16" i="14"/>
  <c r="E11" i="14"/>
  <c r="F11" i="14" s="1"/>
  <c r="E10" i="14"/>
  <c r="F10" i="14" s="1"/>
  <c r="G10" i="14" s="1"/>
  <c r="F5" i="14"/>
  <c r="E4" i="14"/>
  <c r="E28" i="14" s="1"/>
  <c r="F26" i="13"/>
  <c r="F25" i="13"/>
  <c r="F24" i="13"/>
  <c r="F18" i="13"/>
  <c r="F19" i="13"/>
  <c r="F17" i="13"/>
  <c r="F16" i="13"/>
  <c r="F11" i="13"/>
  <c r="F10" i="13"/>
  <c r="F5" i="13"/>
  <c r="F4" i="13"/>
  <c r="E26" i="13"/>
  <c r="E25" i="13"/>
  <c r="E24" i="13"/>
  <c r="E19" i="13"/>
  <c r="E18" i="13"/>
  <c r="E17" i="13"/>
  <c r="E16" i="13"/>
  <c r="E11" i="13"/>
  <c r="E10" i="13"/>
  <c r="G10" i="13" s="1"/>
  <c r="E4" i="13"/>
  <c r="E28" i="13" s="1"/>
  <c r="F4" i="14" l="1"/>
  <c r="G4" i="14" s="1"/>
  <c r="G28" i="14" s="1"/>
  <c r="G16" i="13"/>
  <c r="G24" i="13"/>
  <c r="G4" i="13"/>
  <c r="G28" i="13" s="1"/>
  <c r="H5" i="11"/>
  <c r="M109" i="11" l="1"/>
  <c r="H105" i="11"/>
  <c r="I105" i="11"/>
  <c r="L105" i="11" s="1"/>
  <c r="M105" i="11" s="1"/>
  <c r="E5" i="1" l="1"/>
  <c r="E5" i="9" l="1"/>
  <c r="I100" i="11" l="1"/>
  <c r="L100" i="11" s="1"/>
  <c r="M100" i="11" s="1"/>
  <c r="H100" i="11"/>
  <c r="M95" i="11" l="1"/>
  <c r="H86" i="11" l="1"/>
  <c r="I86" i="11"/>
  <c r="M86" i="11" l="1"/>
  <c r="M91" i="11" s="1"/>
  <c r="L86" i="11"/>
  <c r="H80" i="11"/>
  <c r="I80" i="11"/>
  <c r="L80" i="11" s="1"/>
  <c r="C80" i="11"/>
  <c r="M80" i="11" l="1"/>
  <c r="F36" i="8"/>
  <c r="H36" i="8" s="1"/>
  <c r="F37" i="8"/>
  <c r="H37" i="8" s="1"/>
  <c r="F35" i="8"/>
  <c r="H35" i="8" s="1"/>
  <c r="H38" i="8" s="1"/>
  <c r="F25" i="8"/>
  <c r="H25" i="8" s="1"/>
  <c r="F26" i="8"/>
  <c r="H26" i="8" s="1"/>
  <c r="F27" i="8"/>
  <c r="H27" i="8" s="1"/>
  <c r="F24" i="8"/>
  <c r="H24" i="8" s="1"/>
  <c r="H28" i="8" s="1"/>
  <c r="F15" i="8"/>
  <c r="H15" i="8" s="1"/>
  <c r="F7" i="8"/>
  <c r="H7" i="8" s="1"/>
  <c r="F6" i="8"/>
  <c r="F36" i="6"/>
  <c r="H36" i="6" s="1"/>
  <c r="F37" i="6"/>
  <c r="H37" i="6" s="1"/>
  <c r="F35" i="6"/>
  <c r="H35" i="6" s="1"/>
  <c r="H38" i="6" s="1"/>
  <c r="F25" i="6"/>
  <c r="H25" i="6" s="1"/>
  <c r="F26" i="6"/>
  <c r="H26" i="6" s="1"/>
  <c r="F27" i="6"/>
  <c r="H27" i="6" s="1"/>
  <c r="F24" i="6"/>
  <c r="H24" i="6"/>
  <c r="H28" i="6" s="1"/>
  <c r="F15" i="6"/>
  <c r="H15" i="6" s="1"/>
  <c r="H6" i="6"/>
  <c r="H36" i="4"/>
  <c r="F36" i="4"/>
  <c r="F37" i="4"/>
  <c r="H37" i="4" s="1"/>
  <c r="F35" i="4"/>
  <c r="H35" i="4" s="1"/>
  <c r="F25" i="4"/>
  <c r="H25" i="4" s="1"/>
  <c r="F26" i="4"/>
  <c r="H26" i="4" s="1"/>
  <c r="F27" i="4"/>
  <c r="H27" i="4" s="1"/>
  <c r="F24" i="4"/>
  <c r="H24" i="4" s="1"/>
  <c r="G24" i="4"/>
  <c r="F15" i="4"/>
  <c r="H15" i="4" s="1"/>
  <c r="F14" i="4"/>
  <c r="H14" i="4" s="1"/>
  <c r="F7" i="4"/>
  <c r="H7" i="4" s="1"/>
  <c r="F6" i="4"/>
  <c r="H6" i="4" s="1"/>
  <c r="F27" i="1"/>
  <c r="F20" i="1"/>
  <c r="F12" i="1"/>
  <c r="F14" i="8" s="1"/>
  <c r="H14" i="8" s="1"/>
  <c r="H16" i="8" s="1"/>
  <c r="F6" i="1"/>
  <c r="F7" i="6" s="1"/>
  <c r="S26" i="1"/>
  <c r="S25" i="1"/>
  <c r="S19" i="1"/>
  <c r="S18" i="1"/>
  <c r="S17" i="1"/>
  <c r="S11" i="1"/>
  <c r="S5" i="1"/>
  <c r="F40" i="8" l="1"/>
  <c r="H7" i="6"/>
  <c r="H8" i="6"/>
  <c r="F14" i="6"/>
  <c r="H14" i="6" s="1"/>
  <c r="F40" i="4"/>
  <c r="H6" i="8"/>
  <c r="H8" i="8" s="1"/>
  <c r="H40" i="8" s="1"/>
  <c r="I35" i="6"/>
  <c r="I24" i="6"/>
  <c r="I6" i="6"/>
  <c r="I24" i="4"/>
  <c r="I14" i="4"/>
  <c r="I6" i="4"/>
  <c r="F29" i="1"/>
  <c r="N73" i="11"/>
  <c r="N71" i="11"/>
  <c r="J69" i="11"/>
  <c r="M69" i="11" s="1"/>
  <c r="N69" i="11" s="1"/>
  <c r="I69" i="11"/>
  <c r="F40" i="6" l="1"/>
  <c r="I14" i="6"/>
  <c r="H16" i="6"/>
  <c r="H40" i="6" s="1"/>
  <c r="N76" i="11"/>
  <c r="M63" i="11"/>
  <c r="M61" i="11"/>
  <c r="M60" i="11"/>
  <c r="M59" i="11"/>
  <c r="M62" i="11" l="1"/>
  <c r="M43" i="11"/>
  <c r="C53" i="11"/>
  <c r="I53" i="11"/>
  <c r="L53" i="11" s="1"/>
  <c r="H53" i="11"/>
  <c r="C51" i="11"/>
  <c r="M51" i="11" s="1"/>
  <c r="M53" i="11" l="1"/>
  <c r="M55" i="11" s="1"/>
  <c r="M46" i="11"/>
  <c r="C41" i="11" l="1"/>
  <c r="I41" i="11"/>
  <c r="L41" i="11" s="1"/>
  <c r="H41" i="11"/>
  <c r="I39" i="11"/>
  <c r="L39" i="11" s="1"/>
  <c r="M39" i="11" s="1"/>
  <c r="H39" i="11"/>
  <c r="M41" i="11" l="1"/>
  <c r="M48" i="11" s="1"/>
  <c r="E24" i="1" l="1"/>
  <c r="E16" i="1"/>
  <c r="V26" i="1" l="1"/>
  <c r="V25" i="1"/>
  <c r="V24" i="1"/>
  <c r="V19" i="1"/>
  <c r="V18" i="1"/>
  <c r="V17" i="1"/>
  <c r="V16" i="1"/>
  <c r="V11" i="1"/>
  <c r="V10" i="1"/>
  <c r="V5" i="1"/>
  <c r="V4" i="1"/>
  <c r="J26" i="1" l="1"/>
  <c r="J25" i="1"/>
  <c r="J24" i="1"/>
  <c r="J19" i="1"/>
  <c r="J18" i="1"/>
  <c r="J17" i="1"/>
  <c r="J16" i="1"/>
  <c r="J11" i="1"/>
  <c r="J10" i="1"/>
  <c r="J5" i="1"/>
  <c r="J4" i="1"/>
  <c r="C32" i="12"/>
  <c r="H32" i="12" s="1"/>
  <c r="C31" i="12"/>
  <c r="C22" i="12"/>
  <c r="H22" i="12" s="1"/>
  <c r="C23" i="12"/>
  <c r="H23" i="12" s="1"/>
  <c r="C24" i="12"/>
  <c r="H24" i="12" s="1"/>
  <c r="C21" i="12"/>
  <c r="C14" i="12"/>
  <c r="H14" i="12" s="1"/>
  <c r="C13" i="12"/>
  <c r="C6" i="12"/>
  <c r="H6" i="12" s="1"/>
  <c r="C5" i="12"/>
  <c r="K26" i="1"/>
  <c r="N26" i="1" s="1"/>
  <c r="K25" i="1"/>
  <c r="N25" i="1" s="1"/>
  <c r="K24" i="1"/>
  <c r="N24" i="1" s="1"/>
  <c r="K19" i="1"/>
  <c r="N19" i="1" s="1"/>
  <c r="K18" i="1"/>
  <c r="N18" i="1" s="1"/>
  <c r="K17" i="1"/>
  <c r="N17" i="1" s="1"/>
  <c r="K16" i="1"/>
  <c r="N16" i="1" s="1"/>
  <c r="K11" i="1"/>
  <c r="N11" i="1" s="1"/>
  <c r="K10" i="1"/>
  <c r="N10" i="1" s="1"/>
  <c r="K5" i="1"/>
  <c r="N5" i="1" s="1"/>
  <c r="K4" i="1"/>
  <c r="N4" i="1" s="1"/>
  <c r="C15" i="12" l="1"/>
  <c r="H13" i="12"/>
  <c r="H15" i="12"/>
  <c r="H5" i="12"/>
  <c r="H7" i="12" s="1"/>
  <c r="C7" i="12"/>
  <c r="H21" i="12"/>
  <c r="H25" i="12" s="1"/>
  <c r="C25" i="12"/>
  <c r="H31" i="12"/>
  <c r="I29" i="11"/>
  <c r="L29" i="11" s="1"/>
  <c r="I20" i="11"/>
  <c r="L20" i="11" s="1"/>
  <c r="I21" i="11"/>
  <c r="L21" i="11" s="1"/>
  <c r="H11" i="11"/>
  <c r="H4" i="11"/>
  <c r="C28" i="11"/>
  <c r="C27" i="11"/>
  <c r="C19" i="11"/>
  <c r="C20" i="11"/>
  <c r="C21" i="11"/>
  <c r="C18" i="11"/>
  <c r="C12" i="11"/>
  <c r="C11" i="11"/>
  <c r="C4" i="11"/>
  <c r="E25" i="10"/>
  <c r="E24" i="10"/>
  <c r="E17" i="10"/>
  <c r="E18" i="10"/>
  <c r="F18" i="10" s="1"/>
  <c r="E19" i="10"/>
  <c r="F19" i="10" s="1"/>
  <c r="E16" i="10"/>
  <c r="E11" i="10"/>
  <c r="E10" i="10"/>
  <c r="E4" i="10"/>
  <c r="E20" i="1"/>
  <c r="E12" i="1"/>
  <c r="E6" i="1"/>
  <c r="E25" i="9"/>
  <c r="E24" i="9"/>
  <c r="E17" i="9"/>
  <c r="E18" i="9"/>
  <c r="E19" i="9"/>
  <c r="E16" i="9"/>
  <c r="E11" i="9"/>
  <c r="E10" i="9"/>
  <c r="E4" i="9"/>
  <c r="F25" i="9"/>
  <c r="F26" i="9"/>
  <c r="F24" i="9"/>
  <c r="F17" i="9"/>
  <c r="F18" i="9"/>
  <c r="F19" i="9"/>
  <c r="F16" i="9"/>
  <c r="F11" i="9"/>
  <c r="F10" i="9"/>
  <c r="F5" i="9"/>
  <c r="F4" i="9"/>
  <c r="D32" i="12"/>
  <c r="D33" i="12"/>
  <c r="D31" i="12"/>
  <c r="D22" i="12"/>
  <c r="D23" i="12"/>
  <c r="D24" i="12"/>
  <c r="D21" i="12"/>
  <c r="D14" i="12"/>
  <c r="D13" i="12"/>
  <c r="D6" i="12"/>
  <c r="D5" i="12"/>
  <c r="E21" i="8"/>
  <c r="E22" i="8"/>
  <c r="E23" i="8"/>
  <c r="E20" i="8"/>
  <c r="E13" i="8"/>
  <c r="E12" i="8"/>
  <c r="E5" i="8"/>
  <c r="E33" i="8"/>
  <c r="E34" i="8"/>
  <c r="E32" i="8"/>
  <c r="E4" i="8"/>
  <c r="E33" i="6"/>
  <c r="E34" i="6"/>
  <c r="E32" i="6"/>
  <c r="E21" i="6"/>
  <c r="E22" i="6"/>
  <c r="E23" i="6"/>
  <c r="E20" i="6"/>
  <c r="E13" i="6"/>
  <c r="E12" i="6"/>
  <c r="E5" i="6"/>
  <c r="E4" i="6"/>
  <c r="E33" i="4"/>
  <c r="G33" i="4" s="1"/>
  <c r="E34" i="4"/>
  <c r="G34" i="4" s="1"/>
  <c r="E32" i="4"/>
  <c r="G32" i="4" s="1"/>
  <c r="E21" i="4"/>
  <c r="G21" i="4" s="1"/>
  <c r="E22" i="4"/>
  <c r="G22" i="4" s="1"/>
  <c r="E23" i="4"/>
  <c r="G23" i="4" s="1"/>
  <c r="E20" i="4"/>
  <c r="G20" i="4" s="1"/>
  <c r="E13" i="4"/>
  <c r="G13" i="4" s="1"/>
  <c r="E12" i="4"/>
  <c r="G12" i="4" s="1"/>
  <c r="E5" i="4"/>
  <c r="G5" i="4" s="1"/>
  <c r="E4" i="4"/>
  <c r="C33" i="12"/>
  <c r="C34" i="12" s="1"/>
  <c r="C36" i="12" s="1"/>
  <c r="E40" i="4" l="1"/>
  <c r="G4" i="4"/>
  <c r="D15" i="12"/>
  <c r="O4" i="11"/>
  <c r="O18" i="11"/>
  <c r="O27" i="11"/>
  <c r="O5" i="11"/>
  <c r="R21" i="11"/>
  <c r="O21" i="11"/>
  <c r="P21" i="11"/>
  <c r="O28" i="11"/>
  <c r="O11" i="11"/>
  <c r="O20" i="11"/>
  <c r="P20" i="11"/>
  <c r="O12" i="11"/>
  <c r="O19" i="11"/>
  <c r="H33" i="12"/>
  <c r="H34" i="12" s="1"/>
  <c r="H36" i="12" s="1"/>
  <c r="D7" i="12"/>
  <c r="D34" i="12"/>
  <c r="E27" i="1"/>
  <c r="E29" i="1" s="1"/>
  <c r="H28" i="11"/>
  <c r="I28" i="11"/>
  <c r="R28" i="11" s="1"/>
  <c r="I4" i="11"/>
  <c r="R4" i="11" s="1"/>
  <c r="E26" i="9"/>
  <c r="E26" i="10"/>
  <c r="R20" i="11"/>
  <c r="C29" i="11"/>
  <c r="I5" i="11"/>
  <c r="R5" i="11" s="1"/>
  <c r="I12" i="11"/>
  <c r="R12" i="11" s="1"/>
  <c r="H12" i="11"/>
  <c r="H21" i="11"/>
  <c r="I19" i="11"/>
  <c r="P19" i="11" s="1"/>
  <c r="H19" i="11"/>
  <c r="H29" i="11"/>
  <c r="I11" i="11"/>
  <c r="R11" i="11" s="1"/>
  <c r="I18" i="11"/>
  <c r="R18" i="11" s="1"/>
  <c r="H18" i="11"/>
  <c r="I27" i="11"/>
  <c r="P27" i="11" s="1"/>
  <c r="H27" i="11"/>
  <c r="H20" i="11"/>
  <c r="D25" i="12"/>
  <c r="R27" i="11"/>
  <c r="G4" i="9"/>
  <c r="S11" i="11"/>
  <c r="O6" i="11" l="1"/>
  <c r="D36" i="12"/>
  <c r="P5" i="11"/>
  <c r="P28" i="11"/>
  <c r="O22" i="11"/>
  <c r="R13" i="11"/>
  <c r="P12" i="11"/>
  <c r="P11" i="11"/>
  <c r="P18" i="11"/>
  <c r="P22" i="11" s="1"/>
  <c r="R19" i="11"/>
  <c r="R22" i="11" s="1"/>
  <c r="L19" i="11"/>
  <c r="M19" i="11" s="1"/>
  <c r="R29" i="11"/>
  <c r="R30" i="11" s="1"/>
  <c r="O29" i="11"/>
  <c r="O30" i="11" s="1"/>
  <c r="P29" i="11"/>
  <c r="O13" i="11"/>
  <c r="P4" i="11"/>
  <c r="L18" i="11"/>
  <c r="M18" i="11" s="1"/>
  <c r="L5" i="11"/>
  <c r="M5" i="11" s="1"/>
  <c r="L11" i="11"/>
  <c r="M11" i="11" s="1"/>
  <c r="R6" i="11"/>
  <c r="M29" i="11"/>
  <c r="L4" i="11"/>
  <c r="M4" i="11" s="1"/>
  <c r="L12" i="11"/>
  <c r="M12" i="11" s="1"/>
  <c r="M20" i="11"/>
  <c r="M21" i="11"/>
  <c r="P6" i="11" l="1"/>
  <c r="P13" i="11"/>
  <c r="P30" i="11"/>
  <c r="O32" i="11"/>
  <c r="R32" i="11"/>
  <c r="L28" i="11"/>
  <c r="M28" i="11" s="1"/>
  <c r="L27" i="11"/>
  <c r="P32" i="11" l="1"/>
  <c r="O34" i="11" s="1"/>
  <c r="M27" i="11"/>
  <c r="M30" i="11" s="1"/>
  <c r="M6" i="11"/>
  <c r="M13" i="11"/>
  <c r="M22" i="11"/>
  <c r="M32" i="11" l="1"/>
  <c r="E13" i="12"/>
  <c r="E14" i="12"/>
  <c r="F25" i="10"/>
  <c r="F26" i="10"/>
  <c r="F24" i="10"/>
  <c r="F17" i="10"/>
  <c r="F16" i="10"/>
  <c r="F11" i="10"/>
  <c r="F10" i="10"/>
  <c r="F5" i="10"/>
  <c r="F4" i="10"/>
  <c r="E28" i="10"/>
  <c r="G25" i="9"/>
  <c r="G26" i="9"/>
  <c r="G24" i="9"/>
  <c r="G17" i="9"/>
  <c r="G18" i="9"/>
  <c r="G19" i="9"/>
  <c r="G16" i="9"/>
  <c r="G11" i="9"/>
  <c r="G10" i="9"/>
  <c r="G5" i="9"/>
  <c r="F28" i="9"/>
  <c r="E28" i="9"/>
  <c r="U19" i="1"/>
  <c r="G23" i="8"/>
  <c r="G24" i="12" s="1"/>
  <c r="G34" i="8"/>
  <c r="G33" i="12" s="1"/>
  <c r="G33" i="8"/>
  <c r="G32" i="12" s="1"/>
  <c r="G32" i="8"/>
  <c r="G22" i="8"/>
  <c r="G23" i="12" s="1"/>
  <c r="G21" i="8"/>
  <c r="G22" i="12" s="1"/>
  <c r="G20" i="8"/>
  <c r="G13" i="8"/>
  <c r="G14" i="12" s="1"/>
  <c r="G12" i="8"/>
  <c r="G5" i="8"/>
  <c r="G6" i="12" s="1"/>
  <c r="G4" i="8"/>
  <c r="E40" i="8"/>
  <c r="Q27" i="1"/>
  <c r="Q20" i="1"/>
  <c r="Q12" i="1"/>
  <c r="Q6" i="1"/>
  <c r="G13" i="12" l="1"/>
  <c r="G16" i="8"/>
  <c r="G31" i="12"/>
  <c r="G34" i="12" s="1"/>
  <c r="G38" i="8"/>
  <c r="G5" i="12"/>
  <c r="G8" i="8"/>
  <c r="G21" i="12"/>
  <c r="G25" i="12" s="1"/>
  <c r="G28" i="8"/>
  <c r="G7" i="12"/>
  <c r="E15" i="12"/>
  <c r="G15" i="12"/>
  <c r="Q29" i="1"/>
  <c r="G10" i="10"/>
  <c r="G24" i="10"/>
  <c r="G4" i="10"/>
  <c r="G16" i="10"/>
  <c r="I12" i="4"/>
  <c r="H24" i="9"/>
  <c r="H16" i="9"/>
  <c r="H4" i="9"/>
  <c r="H10" i="9"/>
  <c r="U26" i="1"/>
  <c r="U25" i="1"/>
  <c r="U24" i="1"/>
  <c r="U17" i="1"/>
  <c r="U18" i="1"/>
  <c r="U16" i="1"/>
  <c r="U11" i="1"/>
  <c r="U10" i="1"/>
  <c r="U5" i="1"/>
  <c r="U4" i="1"/>
  <c r="E40" i="6"/>
  <c r="E32" i="12"/>
  <c r="E33" i="12"/>
  <c r="E31" i="12"/>
  <c r="E22" i="12"/>
  <c r="E23" i="12"/>
  <c r="E24" i="12"/>
  <c r="E21" i="12"/>
  <c r="R11" i="1"/>
  <c r="R10" i="1"/>
  <c r="E6" i="12"/>
  <c r="E5" i="12"/>
  <c r="G23" i="6"/>
  <c r="F24" i="12" s="1"/>
  <c r="G33" i="6"/>
  <c r="F32" i="12" s="1"/>
  <c r="G34" i="6"/>
  <c r="F33" i="12" s="1"/>
  <c r="I33" i="12" s="1"/>
  <c r="G32" i="6"/>
  <c r="G21" i="6"/>
  <c r="F22" i="12" s="1"/>
  <c r="I22" i="12" s="1"/>
  <c r="G22" i="6"/>
  <c r="F23" i="12" s="1"/>
  <c r="I23" i="12" s="1"/>
  <c r="G20" i="6"/>
  <c r="G13" i="6"/>
  <c r="F14" i="12" s="1"/>
  <c r="I14" i="12" s="1"/>
  <c r="G12" i="6"/>
  <c r="G5" i="6"/>
  <c r="F6" i="12" s="1"/>
  <c r="G4" i="6"/>
  <c r="O26" i="1"/>
  <c r="O25" i="1"/>
  <c r="O24" i="1"/>
  <c r="O16" i="1"/>
  <c r="O19" i="1"/>
  <c r="O18" i="1"/>
  <c r="O17" i="1"/>
  <c r="O11" i="1"/>
  <c r="O10" i="1"/>
  <c r="O5" i="1"/>
  <c r="O4" i="1"/>
  <c r="G8" i="6" l="1"/>
  <c r="F21" i="12"/>
  <c r="G28" i="6"/>
  <c r="G40" i="8"/>
  <c r="S10" i="1"/>
  <c r="S12" i="1" s="1"/>
  <c r="I16" i="4"/>
  <c r="F13" i="12"/>
  <c r="G16" i="6"/>
  <c r="F31" i="12"/>
  <c r="G38" i="6"/>
  <c r="F5" i="12"/>
  <c r="I5" i="12" s="1"/>
  <c r="I4" i="6"/>
  <c r="I8" i="6" s="1"/>
  <c r="I32" i="12"/>
  <c r="F34" i="12"/>
  <c r="E34" i="12"/>
  <c r="E7" i="12"/>
  <c r="I6" i="12"/>
  <c r="F15" i="12"/>
  <c r="I24" i="12"/>
  <c r="U12" i="1"/>
  <c r="E25" i="12"/>
  <c r="I13" i="12"/>
  <c r="I15" i="12" s="1"/>
  <c r="I31" i="12"/>
  <c r="F25" i="12"/>
  <c r="G36" i="12"/>
  <c r="I21" i="12"/>
  <c r="O20" i="1"/>
  <c r="O27" i="1"/>
  <c r="V27" i="1"/>
  <c r="O6" i="1"/>
  <c r="V6" i="1"/>
  <c r="T24" i="1"/>
  <c r="O12" i="1"/>
  <c r="U6" i="1"/>
  <c r="V12" i="1"/>
  <c r="V20" i="1"/>
  <c r="T11" i="1"/>
  <c r="T19" i="1"/>
  <c r="T16" i="1"/>
  <c r="T26" i="1"/>
  <c r="T10" i="1"/>
  <c r="W10" i="1" s="1"/>
  <c r="T18" i="1"/>
  <c r="T25" i="1"/>
  <c r="T4" i="1"/>
  <c r="T5" i="1"/>
  <c r="G28" i="10"/>
  <c r="R4" i="1"/>
  <c r="R19" i="1"/>
  <c r="R17" i="1"/>
  <c r="R16" i="1"/>
  <c r="R24" i="1"/>
  <c r="R5" i="1"/>
  <c r="R26" i="1"/>
  <c r="R18" i="1"/>
  <c r="R25" i="1"/>
  <c r="H28" i="9"/>
  <c r="U20" i="1"/>
  <c r="U27" i="1"/>
  <c r="R12" i="1"/>
  <c r="I32" i="6"/>
  <c r="I38" i="6" s="1"/>
  <c r="I20" i="6"/>
  <c r="I28" i="6" s="1"/>
  <c r="T17" i="1"/>
  <c r="I12" i="6"/>
  <c r="I16" i="6" s="1"/>
  <c r="I4" i="4"/>
  <c r="I8" i="4" s="1"/>
  <c r="I32" i="4"/>
  <c r="I20" i="4"/>
  <c r="S16" i="1" l="1"/>
  <c r="S20" i="1" s="1"/>
  <c r="I28" i="4"/>
  <c r="S24" i="1"/>
  <c r="S27" i="1" s="1"/>
  <c r="G40" i="6"/>
  <c r="I40" i="6"/>
  <c r="F7" i="12"/>
  <c r="I34" i="12"/>
  <c r="S4" i="1"/>
  <c r="S6" i="1" s="1"/>
  <c r="W25" i="1"/>
  <c r="S29" i="1"/>
  <c r="E36" i="12"/>
  <c r="I7" i="12"/>
  <c r="I25" i="12"/>
  <c r="F36" i="12"/>
  <c r="W5" i="1"/>
  <c r="V29" i="1"/>
  <c r="O29" i="1"/>
  <c r="W24" i="1"/>
  <c r="W4" i="1"/>
  <c r="W26" i="1"/>
  <c r="W18" i="1"/>
  <c r="W19" i="1"/>
  <c r="T12" i="1"/>
  <c r="T20" i="1"/>
  <c r="W11" i="1"/>
  <c r="W12" i="1" s="1"/>
  <c r="T27" i="1"/>
  <c r="T6" i="1"/>
  <c r="R27" i="1"/>
  <c r="R6" i="1"/>
  <c r="R20" i="1"/>
  <c r="W16" i="1"/>
  <c r="U29" i="1"/>
  <c r="W17" i="1"/>
  <c r="I36" i="12" l="1"/>
  <c r="W6" i="1"/>
  <c r="W27" i="1"/>
  <c r="T29" i="1"/>
  <c r="R29" i="1"/>
  <c r="I35" i="4" s="1"/>
  <c r="I38" i="4" s="1"/>
  <c r="I40" i="4" s="1"/>
  <c r="I43" i="4" s="1"/>
  <c r="W20" i="1"/>
  <c r="W29" i="1" l="1"/>
</calcChain>
</file>

<file path=xl/sharedStrings.xml><?xml version="1.0" encoding="utf-8"?>
<sst xmlns="http://schemas.openxmlformats.org/spreadsheetml/2006/main" count="1100" uniqueCount="137">
  <si>
    <t>Наименование работ</t>
  </si>
  <si>
    <t>Ед. изм.</t>
  </si>
  <si>
    <t>Всего</t>
  </si>
  <si>
    <t>м3</t>
  </si>
  <si>
    <t>Выемка грунта класса V,  Vth class soil excavation</t>
  </si>
  <si>
    <t>Захватка 1</t>
  </si>
  <si>
    <t>hср=</t>
  </si>
  <si>
    <t>Длина лотка L, м</t>
  </si>
  <si>
    <t>V=Sср*L</t>
  </si>
  <si>
    <t>Средняя высота hср, м</t>
  </si>
  <si>
    <t xml:space="preserve"> Sср=(Lверх.+Lниза)/2*hср </t>
  </si>
  <si>
    <t xml:space="preserve"> hср=(hmin+hmax)/2-hсущ.</t>
  </si>
  <si>
    <t xml:space="preserve"> Sср=</t>
  </si>
  <si>
    <t>Захватка 2</t>
  </si>
  <si>
    <t>Вычисления, Calculation     Сечение, м2</t>
  </si>
  <si>
    <t>Объем, м3</t>
  </si>
  <si>
    <t>Захватка 3</t>
  </si>
  <si>
    <t>Захватка 4</t>
  </si>
  <si>
    <t>Вычисления, Calculation     Объем , м3</t>
  </si>
  <si>
    <t>№ участка</t>
  </si>
  <si>
    <t>Бетонное основание</t>
  </si>
  <si>
    <t>Ростверки</t>
  </si>
  <si>
    <t>Ростверки шт</t>
  </si>
  <si>
    <t>V=0.100*1.300*1.600*N</t>
  </si>
  <si>
    <t>N</t>
  </si>
  <si>
    <t>V=0.200*1.700*2.000*N</t>
  </si>
  <si>
    <t>Щебень</t>
  </si>
  <si>
    <t>Бетон Роств</t>
  </si>
  <si>
    <t>Обратная засыпка</t>
  </si>
  <si>
    <t>Подб_Роств</t>
  </si>
  <si>
    <t>V=0.900*1.200*0.600*N</t>
  </si>
  <si>
    <t>шт</t>
  </si>
  <si>
    <t xml:space="preserve">Расчет выемки грунта при устройстве лотков </t>
  </si>
  <si>
    <t>V=1.200*0.900*0.600</t>
  </si>
  <si>
    <t>Vщеб, м3</t>
  </si>
  <si>
    <t>Vподб м3</t>
  </si>
  <si>
    <t>V=Vгр -Vщеб-Vподб-Vроств</t>
  </si>
  <si>
    <t>Vгр, м3</t>
  </si>
  <si>
    <t>Vроств, м3</t>
  </si>
  <si>
    <t>Захватки</t>
  </si>
  <si>
    <t>Бетонирование ростверков</t>
  </si>
  <si>
    <t>L</t>
  </si>
  <si>
    <t>м</t>
  </si>
  <si>
    <t>V=(1.5*L-0.9*1.2*N)*0.1</t>
  </si>
  <si>
    <t>V=0.9*0.3*L</t>
  </si>
  <si>
    <t>Бетонирование днища лотков</t>
  </si>
  <si>
    <t>V=0.900*1.200*0.500*N</t>
  </si>
  <si>
    <t xml:space="preserve"> высота стенок</t>
  </si>
  <si>
    <t xml:space="preserve"> hср=(hmin+hmax)/2-0.250</t>
  </si>
  <si>
    <t xml:space="preserve"> S=0.200*2*hср </t>
  </si>
  <si>
    <t>0.200*2*hср =</t>
  </si>
  <si>
    <t xml:space="preserve">Расчет обратной засыпки ростверков при устройстве лотков </t>
  </si>
  <si>
    <t>Расчет  бетонирования стен лотков</t>
  </si>
  <si>
    <t>Площадь стен</t>
  </si>
  <si>
    <t>(5.100+2.100)/2*hср=</t>
  </si>
  <si>
    <t>Vгр=(2.100+3.400)/2*0.800*L</t>
  </si>
  <si>
    <t>V=0.200*1.500*1.800*N</t>
  </si>
  <si>
    <t>Устройство основания из щебня фракции 20-40 ГОСТ 54748-2011 толщиной 200 мм/ Installation of base of gravel fr. 20-40 GOST 54748-2011 200 mm thick</t>
  </si>
  <si>
    <t>TOTAL:</t>
  </si>
  <si>
    <t>Бетонное основание, B15, W6, толщ. 100 мм/Concrete bed, B15, W6, th. 100 mm</t>
  </si>
  <si>
    <t>Гидроизоляция подб</t>
  </si>
  <si>
    <t>Гидроизоляция стен</t>
  </si>
  <si>
    <r>
      <t>S, м</t>
    </r>
    <r>
      <rPr>
        <b/>
        <vertAlign val="superscript"/>
        <sz val="10"/>
        <rFont val="Times New Roman"/>
        <family val="1"/>
        <charset val="204"/>
      </rPr>
      <t>2</t>
    </r>
  </si>
  <si>
    <t>S=2_слоя*L*1.5</t>
  </si>
  <si>
    <t>S=2_слоя*L(2*h_днища+2*h_стен+2*h_усилен)</t>
  </si>
  <si>
    <t>0.400*2*hср =</t>
  </si>
  <si>
    <t>3 подб роств\</t>
  </si>
  <si>
    <t>стенки с двутавром</t>
  </si>
  <si>
    <t>5 балконов подбет</t>
  </si>
  <si>
    <t>Бетон 13.11.2020</t>
  </si>
  <si>
    <t>ИТОГО:</t>
  </si>
  <si>
    <t xml:space="preserve">днище </t>
  </si>
  <si>
    <t>стенки</t>
  </si>
  <si>
    <t>Подбетонка</t>
  </si>
  <si>
    <t>11.6х1.7*0.300</t>
  </si>
  <si>
    <t>6х1.3х1.6х0.1</t>
  </si>
  <si>
    <t>8.9*0.1</t>
  </si>
  <si>
    <t>Бетон</t>
  </si>
  <si>
    <t>фундаметнты</t>
  </si>
  <si>
    <t>2*1.2*0.9*0.6</t>
  </si>
  <si>
    <t>3 уч</t>
  </si>
  <si>
    <t>4 уч</t>
  </si>
  <si>
    <t>11.7*0.900*0.33</t>
  </si>
  <si>
    <t xml:space="preserve">Днище </t>
  </si>
  <si>
    <t>Стены</t>
  </si>
  <si>
    <t>Захватка4</t>
  </si>
  <si>
    <t>19.6*1.25*0.33</t>
  </si>
  <si>
    <t>14.12.20 заявка подтверждени к 16:00</t>
  </si>
  <si>
    <t>фунд.</t>
  </si>
  <si>
    <t>27.5*.9*0.33</t>
  </si>
  <si>
    <t>6 шт</t>
  </si>
  <si>
    <t>2 уч</t>
  </si>
  <si>
    <t>Захватка1</t>
  </si>
  <si>
    <t>Отказано!!! Колей</t>
  </si>
  <si>
    <t xml:space="preserve">  </t>
  </si>
  <si>
    <t>Устройство основания из щебня под ростверки</t>
  </si>
  <si>
    <t>Щебень под ростверки</t>
  </si>
  <si>
    <t>Щебень схема 2</t>
  </si>
  <si>
    <t>V=0.100*1.700*L</t>
  </si>
  <si>
    <t>Длина схема 2 L, м</t>
  </si>
  <si>
    <t>Устройство основания из щебня под Лотки</t>
  </si>
  <si>
    <t>Длина основания, м</t>
  </si>
  <si>
    <t>V=0.300*1.7*L</t>
  </si>
  <si>
    <t>Бетонное основание под ростверки</t>
  </si>
  <si>
    <t>Бетонное основание по грунту</t>
  </si>
  <si>
    <t>V=0.300*1.700*L</t>
  </si>
  <si>
    <t>Вычисления, Calculation     Объем Бетона  , м3</t>
  </si>
  <si>
    <t>Вычисления, Calculation     Объем Песка, м3</t>
  </si>
  <si>
    <t>Песчаное основание</t>
  </si>
  <si>
    <t xml:space="preserve">Бетонирование ростверков B25 W8, Песчаное основание </t>
  </si>
  <si>
    <t>Нач.</t>
  </si>
  <si>
    <t>Кон.</t>
  </si>
  <si>
    <t>0.750*2*hср =</t>
  </si>
  <si>
    <t>Предв. на 22.12.20 Ж-И/15-18 стены 550+20</t>
  </si>
  <si>
    <t>0.75*hср =</t>
  </si>
  <si>
    <t xml:space="preserve">Подбетонка </t>
  </si>
  <si>
    <t>Днище</t>
  </si>
  <si>
    <t>уч. 3</t>
  </si>
  <si>
    <t xml:space="preserve">B30 W12 П4. Предв. на 30.12.20 Ж-И/16-18 стены 550+20 </t>
  </si>
  <si>
    <t>B30 W12 П4. заявка на 06.01.21 Е-Ж/16-18 днище</t>
  </si>
  <si>
    <t>14.5*0.9*0.3</t>
  </si>
  <si>
    <t>B30 W12 П4. заявка на 10.01.21 Е-Ж/16-18 Стены</t>
  </si>
  <si>
    <t>B30 W12 П4 заявка на 21.01.21 Ж/16 стены врезки</t>
  </si>
  <si>
    <t>B15 заявка на 21.01.21 Д/16-17 подбетонка лотка</t>
  </si>
  <si>
    <t>уч1</t>
  </si>
  <si>
    <t>уч3</t>
  </si>
  <si>
    <t>16.5*1.5*0.1</t>
  </si>
  <si>
    <t>Гидрошпонка днища лотков</t>
  </si>
  <si>
    <t>Бетонирование днища лотков, B 30, W12, толщ. 300 мм/Concrete bed, B 30, W12, th. 300 mm</t>
  </si>
  <si>
    <t>Lшп=L*2+0,9*2</t>
  </si>
  <si>
    <t>Гидрошпонка стен лотков</t>
  </si>
  <si>
    <t>Вычисления, Calculation     Длина , м</t>
  </si>
  <si>
    <t>Тип - 1</t>
  </si>
  <si>
    <t>Бетонное основание, B15, B25, B30 толщ. 100 мм/Concrete bed, B15, B25, B30 th. 100 mm</t>
  </si>
  <si>
    <t>Бетонное основание, B15, B30 толщ. 100 мм/Concrete bed, B15, B30 th. 100 mm</t>
  </si>
  <si>
    <t>Бетонное основание лотков, B15, B25 толщ. 100 мм/Concrete bed, B15, B25 th. 100 mm</t>
  </si>
  <si>
    <t>Бетонное основание лотков, B15, толщ. 100 мм/Concrete bed, B15, th. 100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</si>
</sst>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41" formatCode="_-* #,##0\ _₽_-;\-* #,##0\ _₽_-;_-* &quot;-&quot;\ _₽_-;_-@_-"/>
    <numFmt numFmtId="164" formatCode="#,##0.00_ ;[Red]\-#,##0.00\ "/>
    <numFmt numFmtId="165" formatCode="0.0"/>
    <numFmt numFmtId="166" formatCode="#,##0_ ;[Red]\-#,##0\ "/>
    <numFmt numFmtId="167" formatCode="#,##0.0_ ;[Red]\-#,##0.0\ "/>
    <numFmt numFmtId="168" formatCode="0.000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sz val="10"/>
      <color theme="1"/>
      <name val="Times New Roman"/>
      <family val="1"/>
      <charset val="204"/>
    </font>
    <font>
      <sz val="10"/>
      <name val="Times New Roman"/>
      <family val="1"/>
      <charset val="204"/>
    </font>
    <font>
      <b/>
      <sz val="10"/>
      <color theme="1"/>
      <name val="Times New Roman"/>
      <family val="1"/>
      <charset val="204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Times New Roman"/>
      <family val="1"/>
      <charset val="204"/>
    </font>
    <font>
      <sz val="11"/>
      <name val="Calibri"/>
      <family val="2"/>
      <scheme val="minor"/>
    </font>
    <font>
      <b/>
      <vertAlign val="superscript"/>
      <sz val="10"/>
      <name val="Times New Roman"/>
      <family val="1"/>
      <charset val="204"/>
    </font>
    <font>
      <b/>
      <sz val="8"/>
      <color theme="1"/>
      <name val="Times New Roman"/>
      <family val="1"/>
      <charset val="204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/>
        <bgColor indexed="64"/>
      </patternFill>
    </fill>
  </fills>
  <borders count="3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1" fontId="1" fillId="0" borderId="0" applyFont="0" applyFill="0" applyBorder="0" applyAlignment="0" applyProtection="0"/>
  </cellStyleXfs>
  <cellXfs count="248">
    <xf numFmtId="0" fontId="0" fillId="0" borderId="0" xfId="0"/>
    <xf numFmtId="0" fontId="0" fillId="0" borderId="0" xfId="0" applyAlignment="1">
      <alignment horizontal="center" vertical="center"/>
    </xf>
    <xf numFmtId="0" fontId="3" fillId="0" borderId="1" xfId="0" applyFont="1" applyFill="1" applyBorder="1" applyAlignment="1">
      <alignment horizontal="center" vertical="center" wrapText="1"/>
    </xf>
    <xf numFmtId="0" fontId="4" fillId="0" borderId="1" xfId="0" quotePrefix="1" applyFont="1" applyFill="1" applyBorder="1" applyAlignment="1">
      <alignment horizontal="center" vertical="center" wrapText="1"/>
    </xf>
    <xf numFmtId="2" fontId="3" fillId="0" borderId="1" xfId="0" quotePrefix="1" applyNumberFormat="1" applyFont="1" applyFill="1" applyBorder="1" applyAlignment="1">
      <alignment horizontal="center" vertical="center" wrapText="1"/>
    </xf>
    <xf numFmtId="41" fontId="5" fillId="0" borderId="1" xfId="1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 wrapText="1"/>
    </xf>
    <xf numFmtId="0" fontId="5" fillId="0" borderId="1" xfId="1" applyNumberFormat="1" applyFont="1" applyFill="1" applyBorder="1" applyAlignment="1">
      <alignment horizontal="center" vertical="center" wrapText="1"/>
    </xf>
    <xf numFmtId="164" fontId="2" fillId="0" borderId="4" xfId="0" applyNumberFormat="1" applyFont="1" applyBorder="1"/>
    <xf numFmtId="0" fontId="0" fillId="0" borderId="1" xfId="0" applyBorder="1"/>
    <xf numFmtId="165" fontId="4" fillId="0" borderId="1" xfId="0" quotePrefix="1" applyNumberFormat="1" applyFont="1" applyFill="1" applyBorder="1" applyAlignment="1">
      <alignment horizontal="center" vertical="center" wrapText="1"/>
    </xf>
    <xf numFmtId="0" fontId="6" fillId="0" borderId="1" xfId="0" applyFont="1" applyBorder="1"/>
    <xf numFmtId="166" fontId="2" fillId="0" borderId="4" xfId="0" applyNumberFormat="1" applyFont="1" applyBorder="1"/>
    <xf numFmtId="41" fontId="3" fillId="0" borderId="1" xfId="1" applyFont="1" applyFill="1" applyBorder="1" applyAlignment="1">
      <alignment horizontal="center" vertical="center" wrapText="1" shrinkToFit="1"/>
    </xf>
    <xf numFmtId="0" fontId="7" fillId="0" borderId="0" xfId="0" applyFont="1"/>
    <xf numFmtId="0" fontId="8" fillId="0" borderId="1" xfId="0" applyFont="1" applyBorder="1" applyAlignment="1">
      <alignment horizontal="center" vertical="center"/>
    </xf>
    <xf numFmtId="165" fontId="8" fillId="0" borderId="1" xfId="0" applyNumberFormat="1" applyFont="1" applyBorder="1" applyAlignment="1">
      <alignment horizontal="center" vertical="center"/>
    </xf>
    <xf numFmtId="2" fontId="8" fillId="0" borderId="1" xfId="0" applyNumberFormat="1" applyFont="1" applyBorder="1" applyAlignment="1">
      <alignment horizontal="center" vertical="center"/>
    </xf>
    <xf numFmtId="0" fontId="7" fillId="0" borderId="1" xfId="0" applyFont="1" applyBorder="1"/>
    <xf numFmtId="0" fontId="3" fillId="0" borderId="1" xfId="0" applyFont="1" applyBorder="1"/>
    <xf numFmtId="0" fontId="3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165" fontId="5" fillId="0" borderId="1" xfId="0" applyNumberFormat="1" applyFont="1" applyBorder="1" applyAlignment="1">
      <alignment horizontal="center" vertical="center"/>
    </xf>
    <xf numFmtId="165" fontId="5" fillId="0" borderId="4" xfId="0" applyNumberFormat="1" applyFont="1" applyBorder="1"/>
    <xf numFmtId="0" fontId="3" fillId="0" borderId="5" xfId="0" applyFont="1" applyBorder="1"/>
    <xf numFmtId="0" fontId="3" fillId="0" borderId="9" xfId="0" applyFont="1" applyBorder="1"/>
    <xf numFmtId="0" fontId="3" fillId="0" borderId="10" xfId="0" applyFont="1" applyBorder="1"/>
    <xf numFmtId="0" fontId="3" fillId="0" borderId="0" xfId="0" applyFont="1" applyBorder="1"/>
    <xf numFmtId="165" fontId="5" fillId="0" borderId="0" xfId="0" applyNumberFormat="1" applyFont="1" applyBorder="1"/>
    <xf numFmtId="0" fontId="3" fillId="0" borderId="0" xfId="0" applyFont="1"/>
    <xf numFmtId="166" fontId="5" fillId="0" borderId="4" xfId="0" applyNumberFormat="1" applyFont="1" applyBorder="1"/>
    <xf numFmtId="1" fontId="5" fillId="0" borderId="4" xfId="0" applyNumberFormat="1" applyFont="1" applyBorder="1"/>
    <xf numFmtId="167" fontId="5" fillId="0" borderId="4" xfId="0" applyNumberFormat="1" applyFont="1" applyBorder="1"/>
    <xf numFmtId="0" fontId="3" fillId="0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0" fontId="7" fillId="0" borderId="7" xfId="0" applyFont="1" applyBorder="1" applyAlignment="1"/>
    <xf numFmtId="0" fontId="3" fillId="0" borderId="0" xfId="0" applyFont="1" applyFill="1" applyBorder="1" applyAlignment="1">
      <alignment horizontal="center" vertical="center" wrapText="1"/>
    </xf>
    <xf numFmtId="0" fontId="3" fillId="0" borderId="8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/>
    </xf>
    <xf numFmtId="0" fontId="7" fillId="0" borderId="0" xfId="0" applyFont="1" applyBorder="1"/>
    <xf numFmtId="165" fontId="0" fillId="0" borderId="4" xfId="0" applyNumberFormat="1" applyBorder="1"/>
    <xf numFmtId="0" fontId="4" fillId="0" borderId="1" xfId="0" applyFont="1" applyFill="1" applyBorder="1" applyAlignment="1">
      <alignment horizontal="center" vertical="center" wrapText="1"/>
    </xf>
    <xf numFmtId="2" fontId="4" fillId="0" borderId="1" xfId="0" quotePrefix="1" applyNumberFormat="1" applyFont="1" applyFill="1" applyBorder="1" applyAlignment="1">
      <alignment horizontal="center" vertical="center" wrapText="1"/>
    </xf>
    <xf numFmtId="0" fontId="9" fillId="0" borderId="1" xfId="0" applyFont="1" applyFill="1" applyBorder="1"/>
    <xf numFmtId="165" fontId="10" fillId="0" borderId="1" xfId="0" applyNumberFormat="1" applyFont="1" applyFill="1" applyBorder="1"/>
    <xf numFmtId="0" fontId="10" fillId="0" borderId="1" xfId="0" applyFont="1" applyFill="1" applyBorder="1" applyAlignment="1">
      <alignment horizontal="center" vertical="center" wrapText="1"/>
    </xf>
    <xf numFmtId="0" fontId="10" fillId="0" borderId="1" xfId="1" applyNumberFormat="1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 wrapText="1"/>
    </xf>
    <xf numFmtId="0" fontId="7" fillId="0" borderId="1" xfId="0" applyFont="1" applyFill="1" applyBorder="1"/>
    <xf numFmtId="165" fontId="5" fillId="0" borderId="4" xfId="0" applyNumberFormat="1" applyFont="1" applyFill="1" applyBorder="1"/>
    <xf numFmtId="0" fontId="7" fillId="0" borderId="0" xfId="0" applyFont="1" applyFill="1"/>
    <xf numFmtId="0" fontId="3" fillId="0" borderId="1" xfId="0" applyFont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 wrapText="1"/>
    </xf>
    <xf numFmtId="2" fontId="3" fillId="0" borderId="1" xfId="0" applyNumberFormat="1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right"/>
    </xf>
    <xf numFmtId="1" fontId="5" fillId="0" borderId="1" xfId="0" applyNumberFormat="1" applyFont="1" applyBorder="1"/>
    <xf numFmtId="165" fontId="5" fillId="0" borderId="1" xfId="0" applyNumberFormat="1" applyFont="1" applyBorder="1"/>
    <xf numFmtId="0" fontId="4" fillId="0" borderId="1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0" fontId="11" fillId="0" borderId="1" xfId="0" applyFont="1" applyFill="1" applyBorder="1" applyAlignment="1">
      <alignment horizontal="center" vertical="center" wrapText="1"/>
    </xf>
    <xf numFmtId="0" fontId="10" fillId="0" borderId="0" xfId="0" applyFont="1" applyBorder="1" applyAlignment="1">
      <alignment horizontal="center" vertical="center"/>
    </xf>
    <xf numFmtId="0" fontId="5" fillId="0" borderId="0" xfId="1" applyNumberFormat="1" applyFont="1" applyFill="1" applyBorder="1" applyAlignment="1">
      <alignment horizontal="center" vertical="center" wrapText="1"/>
    </xf>
    <xf numFmtId="2" fontId="4" fillId="0" borderId="0" xfId="0" quotePrefix="1" applyNumberFormat="1" applyFont="1" applyFill="1" applyBorder="1" applyAlignment="1">
      <alignment horizontal="center" vertical="center" wrapText="1"/>
    </xf>
    <xf numFmtId="165" fontId="10" fillId="0" borderId="0" xfId="0" applyNumberFormat="1" applyFont="1" applyFill="1" applyBorder="1"/>
    <xf numFmtId="0" fontId="9" fillId="0" borderId="0" xfId="0" applyFont="1" applyFill="1" applyBorder="1" applyAlignment="1">
      <alignment horizontal="center" vertical="center"/>
    </xf>
    <xf numFmtId="0" fontId="10" fillId="0" borderId="0" xfId="0" applyFont="1" applyFill="1" applyBorder="1" applyAlignment="1">
      <alignment horizontal="center" vertical="center"/>
    </xf>
    <xf numFmtId="0" fontId="10" fillId="0" borderId="0" xfId="1" applyNumberFormat="1" applyFont="1" applyFill="1" applyBorder="1" applyAlignment="1">
      <alignment horizontal="center" vertical="center" wrapText="1"/>
    </xf>
    <xf numFmtId="165" fontId="0" fillId="0" borderId="0" xfId="0" applyNumberFormat="1" applyBorder="1"/>
    <xf numFmtId="165" fontId="10" fillId="0" borderId="8" xfId="0" applyNumberFormat="1" applyFont="1" applyFill="1" applyBorder="1"/>
    <xf numFmtId="0" fontId="0" fillId="0" borderId="6" xfId="0" applyBorder="1"/>
    <xf numFmtId="0" fontId="0" fillId="0" borderId="0" xfId="0" applyBorder="1"/>
    <xf numFmtId="0" fontId="11" fillId="0" borderId="0" xfId="0" applyFont="1" applyBorder="1" applyAlignment="1">
      <alignment horizontal="center" vertical="center"/>
    </xf>
    <xf numFmtId="0" fontId="11" fillId="0" borderId="0" xfId="0" applyFont="1" applyFill="1" applyBorder="1" applyAlignment="1">
      <alignment horizontal="center" vertical="center" wrapText="1"/>
    </xf>
    <xf numFmtId="0" fontId="0" fillId="0" borderId="3" xfId="0" applyBorder="1"/>
    <xf numFmtId="0" fontId="9" fillId="0" borderId="2" xfId="0" applyFont="1" applyFill="1" applyBorder="1" applyAlignment="1">
      <alignment horizontal="center" vertical="center"/>
    </xf>
    <xf numFmtId="0" fontId="4" fillId="0" borderId="6" xfId="0" applyFont="1" applyFill="1" applyBorder="1" applyAlignment="1">
      <alignment horizontal="center" vertical="center"/>
    </xf>
    <xf numFmtId="165" fontId="2" fillId="0" borderId="4" xfId="0" applyNumberFormat="1" applyFont="1" applyBorder="1"/>
    <xf numFmtId="2" fontId="0" fillId="0" borderId="1" xfId="0" applyNumberFormat="1" applyBorder="1" applyAlignment="1">
      <alignment horizontal="center" vertical="center"/>
    </xf>
    <xf numFmtId="1" fontId="2" fillId="0" borderId="4" xfId="0" applyNumberFormat="1" applyFont="1" applyBorder="1"/>
    <xf numFmtId="1" fontId="0" fillId="0" borderId="0" xfId="0" applyNumberFormat="1"/>
    <xf numFmtId="0" fontId="3" fillId="2" borderId="1" xfId="0" applyFont="1" applyFill="1" applyBorder="1" applyAlignment="1">
      <alignment horizontal="center" vertical="center" wrapText="1"/>
    </xf>
    <xf numFmtId="168" fontId="4" fillId="0" borderId="1" xfId="0" quotePrefix="1" applyNumberFormat="1" applyFont="1" applyFill="1" applyBorder="1" applyAlignment="1">
      <alignment horizontal="center" vertical="center" wrapText="1"/>
    </xf>
    <xf numFmtId="165" fontId="0" fillId="0" borderId="4" xfId="0" applyNumberFormat="1" applyBorder="1" applyAlignment="1">
      <alignment horizontal="center"/>
    </xf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0" borderId="18" xfId="0" applyBorder="1"/>
    <xf numFmtId="165" fontId="4" fillId="0" borderId="19" xfId="0" quotePrefix="1" applyNumberFormat="1" applyFont="1" applyFill="1" applyBorder="1" applyAlignment="1">
      <alignment horizontal="center" vertical="center" wrapText="1"/>
    </xf>
    <xf numFmtId="165" fontId="0" fillId="0" borderId="18" xfId="0" applyNumberFormat="1" applyBorder="1" applyAlignment="1">
      <alignment horizontal="center"/>
    </xf>
    <xf numFmtId="165" fontId="0" fillId="0" borderId="19" xfId="0" applyNumberFormat="1" applyBorder="1" applyAlignment="1">
      <alignment horizontal="center"/>
    </xf>
    <xf numFmtId="0" fontId="0" fillId="0" borderId="20" xfId="0" applyBorder="1"/>
    <xf numFmtId="0" fontId="0" fillId="0" borderId="21" xfId="0" applyBorder="1"/>
    <xf numFmtId="0" fontId="4" fillId="0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10" fillId="0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14" fontId="0" fillId="0" borderId="4" xfId="0" applyNumberFormat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165" fontId="0" fillId="0" borderId="16" xfId="0" applyNumberFormat="1" applyBorder="1"/>
    <xf numFmtId="165" fontId="0" fillId="0" borderId="18" xfId="0" applyNumberFormat="1" applyBorder="1"/>
    <xf numFmtId="0" fontId="0" fillId="0" borderId="0" xfId="0" applyFill="1" applyBorder="1"/>
    <xf numFmtId="0" fontId="4" fillId="0" borderId="8" xfId="0" applyFont="1" applyFill="1" applyBorder="1" applyAlignment="1">
      <alignment vertical="center" wrapText="1"/>
    </xf>
    <xf numFmtId="0" fontId="4" fillId="0" borderId="6" xfId="0" applyFont="1" applyFill="1" applyBorder="1" applyAlignment="1">
      <alignment vertical="center" wrapText="1"/>
    </xf>
    <xf numFmtId="0" fontId="4" fillId="0" borderId="1" xfId="0" applyFont="1" applyFill="1" applyBorder="1" applyAlignment="1">
      <alignment vertical="center" wrapText="1"/>
    </xf>
    <xf numFmtId="165" fontId="0" fillId="0" borderId="1" xfId="0" applyNumberFormat="1" applyBorder="1" applyAlignment="1">
      <alignment horizontal="center" vertical="center"/>
    </xf>
    <xf numFmtId="0" fontId="0" fillId="0" borderId="5" xfId="0" applyBorder="1" applyAlignment="1"/>
    <xf numFmtId="0" fontId="0" fillId="0" borderId="3" xfId="0" applyBorder="1" applyAlignment="1"/>
    <xf numFmtId="0" fontId="0" fillId="0" borderId="20" xfId="0" applyBorder="1" applyAlignment="1">
      <alignment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165" fontId="0" fillId="0" borderId="8" xfId="0" applyNumberForma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4" fillId="0" borderId="0" xfId="0" applyFont="1" applyFill="1" applyBorder="1" applyAlignment="1">
      <alignment vertical="center" wrapText="1"/>
    </xf>
    <xf numFmtId="0" fontId="10" fillId="0" borderId="0" xfId="0" applyFont="1" applyFill="1" applyBorder="1" applyAlignment="1">
      <alignment horizontal="center" vertical="center" wrapText="1"/>
    </xf>
    <xf numFmtId="0" fontId="0" fillId="0" borderId="0" xfId="0" applyBorder="1" applyAlignment="1"/>
    <xf numFmtId="165" fontId="0" fillId="0" borderId="0" xfId="0" applyNumberFormat="1" applyBorder="1" applyAlignment="1">
      <alignment horizontal="center" vertical="center"/>
    </xf>
    <xf numFmtId="0" fontId="3" fillId="0" borderId="5" xfId="0" applyFont="1" applyFill="1" applyBorder="1" applyAlignment="1">
      <alignment horizontal="center" vertical="center" wrapText="1"/>
    </xf>
    <xf numFmtId="0" fontId="4" fillId="0" borderId="2" xfId="0" applyFont="1" applyFill="1" applyBorder="1" applyAlignment="1">
      <alignment horizontal="center" vertical="center" wrapText="1"/>
    </xf>
    <xf numFmtId="0" fontId="4" fillId="0" borderId="5" xfId="0" quotePrefix="1" applyFont="1" applyFill="1" applyBorder="1" applyAlignment="1">
      <alignment horizontal="center" vertical="center" wrapText="1"/>
    </xf>
    <xf numFmtId="168" fontId="4" fillId="0" borderId="3" xfId="0" quotePrefix="1" applyNumberFormat="1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10" fillId="0" borderId="3" xfId="0" applyFont="1" applyFill="1" applyBorder="1" applyAlignment="1">
      <alignment horizontal="center" vertical="center" wrapText="1"/>
    </xf>
    <xf numFmtId="0" fontId="0" fillId="0" borderId="5" xfId="0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164" fontId="5" fillId="0" borderId="1" xfId="1" applyNumberFormat="1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 wrapText="1"/>
    </xf>
    <xf numFmtId="165" fontId="0" fillId="2" borderId="8" xfId="0" applyNumberForma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 wrapText="1"/>
    </xf>
    <xf numFmtId="0" fontId="10" fillId="0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167" fontId="5" fillId="2" borderId="4" xfId="0" applyNumberFormat="1" applyFont="1" applyFill="1" applyBorder="1"/>
    <xf numFmtId="165" fontId="4" fillId="0" borderId="8" xfId="0" quotePrefix="1" applyNumberFormat="1" applyFont="1" applyFill="1" applyBorder="1" applyAlignment="1">
      <alignment horizontal="center" vertical="center" wrapText="1"/>
    </xf>
    <xf numFmtId="164" fontId="2" fillId="0" borderId="1" xfId="0" applyNumberFormat="1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 wrapText="1"/>
    </xf>
    <xf numFmtId="41" fontId="3" fillId="0" borderId="7" xfId="1" applyFont="1" applyFill="1" applyBorder="1" applyAlignment="1">
      <alignment horizontal="center" vertical="center" wrapText="1" shrinkToFit="1"/>
    </xf>
    <xf numFmtId="0" fontId="3" fillId="0" borderId="7" xfId="0" applyFont="1" applyFill="1" applyBorder="1" applyAlignment="1">
      <alignment horizontal="center" vertical="center" wrapText="1"/>
    </xf>
    <xf numFmtId="0" fontId="5" fillId="0" borderId="7" xfId="0" applyFont="1" applyFill="1" applyBorder="1" applyAlignment="1">
      <alignment horizontal="center" vertical="center" wrapText="1"/>
    </xf>
    <xf numFmtId="0" fontId="6" fillId="0" borderId="2" xfId="0" applyFont="1" applyBorder="1"/>
    <xf numFmtId="165" fontId="2" fillId="0" borderId="4" xfId="0" applyNumberFormat="1" applyFont="1" applyBorder="1" applyAlignment="1">
      <alignment horizontal="center" vertical="center"/>
    </xf>
    <xf numFmtId="167" fontId="2" fillId="0" borderId="4" xfId="0" applyNumberFormat="1" applyFont="1" applyBorder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6" fontId="2" fillId="0" borderId="4" xfId="0" applyNumberFormat="1" applyFont="1" applyBorder="1" applyAlignment="1">
      <alignment horizontal="center" vertical="center"/>
    </xf>
    <xf numFmtId="164" fontId="2" fillId="0" borderId="4" xfId="0" applyNumberFormat="1" applyFont="1" applyBorder="1" applyAlignment="1">
      <alignment horizontal="center" vertical="center"/>
    </xf>
    <xf numFmtId="0" fontId="11" fillId="0" borderId="1" xfId="0" applyFont="1" applyFill="1" applyBorder="1"/>
    <xf numFmtId="0" fontId="10" fillId="0" borderId="25" xfId="0" applyFont="1" applyFill="1" applyBorder="1" applyAlignment="1">
      <alignment horizontal="center" vertical="center" wrapText="1"/>
    </xf>
    <xf numFmtId="0" fontId="10" fillId="0" borderId="26" xfId="0" applyFont="1" applyFill="1" applyBorder="1" applyAlignment="1">
      <alignment horizontal="center" vertical="center" wrapText="1"/>
    </xf>
    <xf numFmtId="0" fontId="0" fillId="0" borderId="26" xfId="0" applyBorder="1"/>
    <xf numFmtId="0" fontId="0" fillId="0" borderId="27" xfId="0" applyBorder="1"/>
    <xf numFmtId="0" fontId="13" fillId="0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2" fillId="0" borderId="0" xfId="0" applyFont="1"/>
    <xf numFmtId="0" fontId="2" fillId="0" borderId="26" xfId="0" applyFont="1" applyBorder="1"/>
    <xf numFmtId="0" fontId="0" fillId="0" borderId="10" xfId="0" applyBorder="1"/>
    <xf numFmtId="0" fontId="0" fillId="0" borderId="29" xfId="0" applyBorder="1"/>
    <xf numFmtId="0" fontId="0" fillId="0" borderId="7" xfId="0" applyBorder="1"/>
    <xf numFmtId="0" fontId="0" fillId="3" borderId="10" xfId="0" applyFill="1" applyBorder="1"/>
    <xf numFmtId="0" fontId="0" fillId="3" borderId="0" xfId="0" applyFill="1" applyBorder="1"/>
    <xf numFmtId="0" fontId="0" fillId="0" borderId="28" xfId="0" applyBorder="1" applyAlignment="1">
      <alignment horizontal="center" vertical="center"/>
    </xf>
    <xf numFmtId="2" fontId="2" fillId="0" borderId="4" xfId="0" applyNumberFormat="1" applyFont="1" applyBorder="1" applyAlignment="1">
      <alignment horizontal="center" vertical="center"/>
    </xf>
    <xf numFmtId="0" fontId="0" fillId="3" borderId="8" xfId="0" applyFill="1" applyBorder="1" applyAlignment="1">
      <alignment horizontal="center" vertical="center"/>
    </xf>
    <xf numFmtId="0" fontId="0" fillId="0" borderId="2" xfId="0" applyBorder="1"/>
    <xf numFmtId="0" fontId="0" fillId="0" borderId="5" xfId="0" applyBorder="1"/>
    <xf numFmtId="0" fontId="0" fillId="0" borderId="25" xfId="0" applyBorder="1" applyAlignment="1">
      <alignment horizontal="center" vertical="center"/>
    </xf>
    <xf numFmtId="0" fontId="2" fillId="0" borderId="15" xfId="0" applyFont="1" applyBorder="1"/>
    <xf numFmtId="0" fontId="0" fillId="0" borderId="30" xfId="0" applyBorder="1"/>
    <xf numFmtId="0" fontId="5" fillId="0" borderId="1" xfId="0" applyFont="1" applyFill="1" applyBorder="1" applyAlignment="1">
      <alignment horizontal="center" vertical="center" wrapText="1"/>
    </xf>
    <xf numFmtId="0" fontId="4" fillId="0" borderId="31" xfId="0" applyFont="1" applyFill="1" applyBorder="1" applyAlignment="1">
      <alignment vertical="center" wrapText="1"/>
    </xf>
    <xf numFmtId="0" fontId="4" fillId="0" borderId="32" xfId="0" applyFont="1" applyFill="1" applyBorder="1" applyAlignment="1">
      <alignment horizontal="center" vertical="center" wrapText="1"/>
    </xf>
    <xf numFmtId="0" fontId="4" fillId="0" borderId="33" xfId="0" applyFont="1" applyFill="1" applyBorder="1" applyAlignment="1">
      <alignment horizontal="center" vertical="center" wrapText="1"/>
    </xf>
    <xf numFmtId="0" fontId="4" fillId="0" borderId="33" xfId="0" quotePrefix="1" applyFont="1" applyFill="1" applyBorder="1" applyAlignment="1">
      <alignment horizontal="center" vertical="center" wrapText="1"/>
    </xf>
    <xf numFmtId="168" fontId="4" fillId="0" borderId="32" xfId="0" quotePrefix="1" applyNumberFormat="1" applyFont="1" applyFill="1" applyBorder="1" applyAlignment="1">
      <alignment horizontal="center" vertical="center" wrapText="1"/>
    </xf>
    <xf numFmtId="2" fontId="10" fillId="0" borderId="34" xfId="0" quotePrefix="1" applyNumberFormat="1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164" fontId="0" fillId="0" borderId="0" xfId="0" applyNumberFormat="1"/>
    <xf numFmtId="0" fontId="2" fillId="0" borderId="0" xfId="0" applyFont="1" applyBorder="1"/>
    <xf numFmtId="0" fontId="4" fillId="0" borderId="0" xfId="0" applyFont="1" applyFill="1" applyBorder="1" applyAlignment="1">
      <alignment horizontal="center" vertical="center" wrapText="1"/>
    </xf>
    <xf numFmtId="0" fontId="4" fillId="0" borderId="0" xfId="0" quotePrefix="1" applyFont="1" applyFill="1" applyBorder="1" applyAlignment="1">
      <alignment horizontal="center" vertical="center" wrapText="1"/>
    </xf>
    <xf numFmtId="168" fontId="4" fillId="0" borderId="0" xfId="0" quotePrefix="1" applyNumberFormat="1" applyFont="1" applyFill="1" applyBorder="1" applyAlignment="1">
      <alignment horizontal="center" vertical="center" wrapText="1"/>
    </xf>
    <xf numFmtId="0" fontId="4" fillId="0" borderId="5" xfId="0" applyFont="1" applyFill="1" applyBorder="1" applyAlignment="1">
      <alignment horizontal="center" vertical="center" wrapText="1"/>
    </xf>
    <xf numFmtId="0" fontId="4" fillId="0" borderId="35" xfId="0" applyFont="1" applyFill="1" applyBorder="1" applyAlignment="1">
      <alignment vertical="center" wrapText="1"/>
    </xf>
    <xf numFmtId="0" fontId="4" fillId="0" borderId="17" xfId="0" applyFont="1" applyFill="1" applyBorder="1" applyAlignment="1">
      <alignment vertical="center" wrapText="1"/>
    </xf>
    <xf numFmtId="2" fontId="4" fillId="0" borderId="19" xfId="0" quotePrefix="1" applyNumberFormat="1" applyFont="1" applyFill="1" applyBorder="1" applyAlignment="1">
      <alignment horizontal="center" vertical="center" wrapText="1"/>
    </xf>
    <xf numFmtId="2" fontId="4" fillId="0" borderId="18" xfId="0" quotePrefix="1" applyNumberFormat="1" applyFont="1" applyFill="1" applyBorder="1" applyAlignment="1">
      <alignment horizontal="center" vertical="center" wrapText="1"/>
    </xf>
    <xf numFmtId="0" fontId="4" fillId="0" borderId="36" xfId="0" applyFont="1" applyFill="1" applyBorder="1" applyAlignment="1">
      <alignment horizontal="center" vertical="center" wrapText="1"/>
    </xf>
    <xf numFmtId="2" fontId="4" fillId="0" borderId="37" xfId="0" quotePrefix="1" applyNumberFormat="1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5" fillId="0" borderId="2" xfId="0" applyFont="1" applyFill="1" applyBorder="1" applyAlignment="1">
      <alignment horizontal="center" vertical="center" wrapText="1"/>
    </xf>
    <xf numFmtId="0" fontId="5" fillId="0" borderId="5" xfId="0" applyFont="1" applyFill="1" applyBorder="1" applyAlignment="1">
      <alignment horizontal="center" vertical="center" wrapText="1"/>
    </xf>
    <xf numFmtId="0" fontId="5" fillId="0" borderId="3" xfId="0" applyFont="1" applyFill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7" fillId="0" borderId="7" xfId="0" applyFont="1" applyFill="1" applyBorder="1" applyAlignment="1">
      <alignment horizontal="center" vertical="center"/>
    </xf>
    <xf numFmtId="0" fontId="0" fillId="0" borderId="7" xfId="0" applyBorder="1" applyAlignment="1">
      <alignment horizontal="center" vertical="center" wrapText="1"/>
    </xf>
    <xf numFmtId="164" fontId="5" fillId="0" borderId="1" xfId="1" applyNumberFormat="1" applyFont="1" applyFill="1" applyBorder="1" applyAlignment="1">
      <alignment horizontal="center" vertical="center" wrapText="1"/>
    </xf>
    <xf numFmtId="41" fontId="3" fillId="0" borderId="1" xfId="1" applyFont="1" applyFill="1" applyBorder="1" applyAlignment="1">
      <alignment horizontal="center" vertical="center" wrapText="1" shrinkToFit="1"/>
    </xf>
    <xf numFmtId="164" fontId="5" fillId="0" borderId="8" xfId="1" applyNumberFormat="1" applyFont="1" applyFill="1" applyBorder="1" applyAlignment="1">
      <alignment horizontal="center" vertical="center" wrapText="1"/>
    </xf>
    <xf numFmtId="164" fontId="5" fillId="0" borderId="9" xfId="1" applyNumberFormat="1" applyFont="1" applyFill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41" fontId="3" fillId="0" borderId="8" xfId="1" applyFont="1" applyFill="1" applyBorder="1" applyAlignment="1">
      <alignment horizontal="center" vertical="center" wrapText="1" shrinkToFit="1"/>
    </xf>
    <xf numFmtId="41" fontId="3" fillId="0" borderId="9" xfId="1" applyFont="1" applyFill="1" applyBorder="1" applyAlignment="1">
      <alignment horizontal="center" vertical="center" wrapText="1" shrinkToFit="1"/>
    </xf>
    <xf numFmtId="41" fontId="3" fillId="0" borderId="6" xfId="1" applyFont="1" applyFill="1" applyBorder="1" applyAlignment="1">
      <alignment horizontal="center" vertical="center" wrapText="1" shrinkToFit="1"/>
    </xf>
    <xf numFmtId="0" fontId="3" fillId="0" borderId="2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10" fillId="0" borderId="2" xfId="0" applyFont="1" applyFill="1" applyBorder="1" applyAlignment="1">
      <alignment horizontal="center" vertical="center" wrapText="1"/>
    </xf>
    <xf numFmtId="0" fontId="10" fillId="0" borderId="5" xfId="0" applyFont="1" applyFill="1" applyBorder="1" applyAlignment="1">
      <alignment horizontal="center" vertical="center" wrapText="1"/>
    </xf>
    <xf numFmtId="0" fontId="10" fillId="0" borderId="3" xfId="0" applyFont="1" applyFill="1" applyBorder="1" applyAlignment="1">
      <alignment horizontal="center" vertical="center" wrapText="1"/>
    </xf>
    <xf numFmtId="1" fontId="2" fillId="0" borderId="12" xfId="0" applyNumberFormat="1" applyFont="1" applyBorder="1" applyAlignment="1">
      <alignment horizontal="center"/>
    </xf>
    <xf numFmtId="1" fontId="2" fillId="0" borderId="11" xfId="0" applyNumberFormat="1" applyFont="1" applyBorder="1" applyAlignment="1">
      <alignment horizontal="center"/>
    </xf>
    <xf numFmtId="0" fontId="10" fillId="0" borderId="2" xfId="0" applyFont="1" applyBorder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 wrapText="1"/>
    </xf>
    <xf numFmtId="0" fontId="9" fillId="0" borderId="1" xfId="0" applyFont="1" applyFill="1" applyBorder="1" applyAlignment="1">
      <alignment horizontal="center" vertical="center"/>
    </xf>
    <xf numFmtId="0" fontId="10" fillId="0" borderId="1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/>
    </xf>
    <xf numFmtId="0" fontId="10" fillId="0" borderId="8" xfId="0" applyFont="1" applyFill="1" applyBorder="1" applyAlignment="1">
      <alignment horizontal="center" vertical="center"/>
    </xf>
    <xf numFmtId="14" fontId="0" fillId="0" borderId="12" xfId="0" applyNumberFormat="1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1" xfId="0" applyBorder="1" applyAlignment="1">
      <alignment horizontal="center"/>
    </xf>
    <xf numFmtId="0" fontId="2" fillId="0" borderId="12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4" fillId="0" borderId="23" xfId="0" applyFont="1" applyFill="1" applyBorder="1" applyAlignment="1">
      <alignment horizontal="center" vertical="center" wrapText="1"/>
    </xf>
    <xf numFmtId="0" fontId="4" fillId="0" borderId="24" xfId="0" applyFont="1" applyFill="1" applyBorder="1" applyAlignment="1">
      <alignment horizontal="center" vertical="center" wrapText="1"/>
    </xf>
    <xf numFmtId="0" fontId="0" fillId="0" borderId="14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</cellXfs>
  <cellStyles count="2">
    <cellStyle name="Обычный" xfId="0" builtinId="0"/>
    <cellStyle name="Финансовый [0]" xfId="1" builtinId="6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X29"/>
  <sheetViews>
    <sheetView zoomScaleNormal="100" workbookViewId="0">
      <selection activeCell="O5" sqref="O5"/>
    </sheetView>
  </sheetViews>
  <sheetFormatPr defaultRowHeight="15" x14ac:dyDescent="0.25"/>
  <cols>
    <col min="1" max="1" width="7.7109375" customWidth="1"/>
    <col min="2" max="2" width="23.28515625" customWidth="1"/>
    <col min="3" max="3" width="7" customWidth="1"/>
    <col min="4" max="4" width="14" customWidth="1"/>
    <col min="5" max="6" width="10.42578125" customWidth="1"/>
    <col min="7" max="9" width="5.28515625" customWidth="1"/>
    <col min="10" max="10" width="18.85546875" customWidth="1"/>
    <col min="11" max="12" width="5.28515625" customWidth="1"/>
    <col min="13" max="13" width="17.42578125" customWidth="1"/>
    <col min="14" max="14" width="5.28515625" customWidth="1"/>
    <col min="15" max="15" width="17.42578125" customWidth="1"/>
    <col min="16" max="16" width="5.5703125" customWidth="1"/>
    <col min="17" max="18" width="12.7109375" customWidth="1"/>
    <col min="19" max="19" width="17" customWidth="1"/>
    <col min="20" max="20" width="12.7109375" customWidth="1"/>
    <col min="21" max="21" width="23" customWidth="1"/>
    <col min="22" max="22" width="25.7109375" customWidth="1"/>
    <col min="23" max="23" width="37.140625" customWidth="1"/>
  </cols>
  <sheetData>
    <row r="1" spans="1:24" ht="25.5" x14ac:dyDescent="0.25">
      <c r="A1" s="14"/>
      <c r="B1" s="35"/>
      <c r="C1" s="14"/>
      <c r="D1" s="204" t="s">
        <v>32</v>
      </c>
      <c r="E1" s="204"/>
      <c r="F1" s="204"/>
      <c r="G1" s="204"/>
      <c r="H1" s="204"/>
      <c r="I1" s="204"/>
      <c r="J1" s="204"/>
      <c r="K1" s="204"/>
      <c r="L1" s="204"/>
      <c r="M1" s="204"/>
      <c r="N1" s="204"/>
      <c r="O1" s="204"/>
      <c r="P1" s="14"/>
      <c r="Q1" s="20" t="s">
        <v>21</v>
      </c>
      <c r="R1" s="133" t="s">
        <v>96</v>
      </c>
      <c r="S1" s="89" t="s">
        <v>97</v>
      </c>
      <c r="T1" s="20" t="s">
        <v>29</v>
      </c>
      <c r="U1" s="20" t="s">
        <v>27</v>
      </c>
      <c r="V1" s="205" t="s">
        <v>28</v>
      </c>
      <c r="W1" s="205"/>
    </row>
    <row r="2" spans="1:24" ht="26.1" customHeight="1" x14ac:dyDescent="0.25">
      <c r="A2" s="6"/>
      <c r="B2" s="5"/>
      <c r="C2" s="6"/>
      <c r="D2" s="6"/>
      <c r="E2" s="6"/>
      <c r="F2" s="136"/>
      <c r="G2" s="199" t="s">
        <v>9</v>
      </c>
      <c r="H2" s="200"/>
      <c r="I2" s="200"/>
      <c r="J2" s="200"/>
      <c r="K2" s="201"/>
      <c r="L2" s="199" t="s">
        <v>14</v>
      </c>
      <c r="M2" s="200"/>
      <c r="N2" s="201"/>
      <c r="O2" s="7" t="s">
        <v>15</v>
      </c>
      <c r="P2" s="14"/>
      <c r="Q2" s="21" t="s">
        <v>31</v>
      </c>
      <c r="R2" s="21" t="s">
        <v>34</v>
      </c>
      <c r="S2" s="135" t="s">
        <v>34</v>
      </c>
      <c r="T2" s="21" t="s">
        <v>35</v>
      </c>
      <c r="U2" s="7" t="s">
        <v>38</v>
      </c>
      <c r="V2" s="7" t="s">
        <v>37</v>
      </c>
      <c r="W2" s="7" t="s">
        <v>15</v>
      </c>
      <c r="X2" s="1"/>
    </row>
    <row r="3" spans="1:24" ht="26.1" customHeight="1" x14ac:dyDescent="0.25">
      <c r="A3" s="6" t="s">
        <v>19</v>
      </c>
      <c r="B3" s="5" t="s">
        <v>0</v>
      </c>
      <c r="C3" s="6" t="s">
        <v>1</v>
      </c>
      <c r="D3" s="6" t="s">
        <v>39</v>
      </c>
      <c r="E3" s="6" t="s">
        <v>7</v>
      </c>
      <c r="F3" s="140" t="s">
        <v>99</v>
      </c>
      <c r="G3" s="199" t="s">
        <v>11</v>
      </c>
      <c r="H3" s="200"/>
      <c r="I3" s="200"/>
      <c r="J3" s="200"/>
      <c r="K3" s="201"/>
      <c r="L3" s="199" t="s">
        <v>10</v>
      </c>
      <c r="M3" s="200"/>
      <c r="N3" s="201"/>
      <c r="O3" s="7" t="s">
        <v>8</v>
      </c>
      <c r="P3" s="14"/>
      <c r="Q3" s="20" t="s">
        <v>33</v>
      </c>
      <c r="R3" s="33" t="s">
        <v>25</v>
      </c>
      <c r="S3" s="41" t="s">
        <v>98</v>
      </c>
      <c r="T3" s="33" t="s">
        <v>23</v>
      </c>
      <c r="U3" s="20" t="s">
        <v>30</v>
      </c>
      <c r="V3" s="20" t="s">
        <v>55</v>
      </c>
      <c r="W3" s="20" t="s">
        <v>36</v>
      </c>
    </row>
    <row r="4" spans="1:24" ht="24.95" customHeight="1" x14ac:dyDescent="0.25">
      <c r="A4" s="202">
        <v>1</v>
      </c>
      <c r="B4" s="13" t="s">
        <v>4</v>
      </c>
      <c r="C4" s="2" t="s">
        <v>3</v>
      </c>
      <c r="D4" s="2" t="s">
        <v>5</v>
      </c>
      <c r="E4" s="2">
        <v>17.5</v>
      </c>
      <c r="F4" s="2"/>
      <c r="G4" s="2" t="s">
        <v>6</v>
      </c>
      <c r="H4" s="58">
        <v>1.663</v>
      </c>
      <c r="I4" s="58">
        <v>1.827</v>
      </c>
      <c r="J4" s="3" t="str">
        <f>CONCATENATE("(",H4,"+",I4,")/2-0.340")</f>
        <v>(1,663+1,827)/2-0.340</v>
      </c>
      <c r="K4" s="45">
        <f>(H4+I4)/2-0.34</f>
        <v>1.405</v>
      </c>
      <c r="L4" s="3" t="s">
        <v>12</v>
      </c>
      <c r="M4" s="3" t="s">
        <v>54</v>
      </c>
      <c r="N4" s="45">
        <f>(5.1+2.1)/2*K4</f>
        <v>5.0579999999999998</v>
      </c>
      <c r="O4" s="4">
        <f>N4*E4</f>
        <v>88.515000000000001</v>
      </c>
      <c r="P4" s="14"/>
      <c r="Q4" s="6">
        <v>5</v>
      </c>
      <c r="R4" s="15">
        <f>Щебень!G4</f>
        <v>2.7000000000000006</v>
      </c>
      <c r="S4" s="15">
        <f>Щебень!I4</f>
        <v>4.8600000000000012</v>
      </c>
      <c r="T4" s="15">
        <f>Подб_Роств!G4</f>
        <v>1.04</v>
      </c>
      <c r="U4" s="16">
        <f>0.9*1.2*0.6*Q4</f>
        <v>3.24</v>
      </c>
      <c r="V4" s="16">
        <f>(2.1+3.4)/2*0.8*E4</f>
        <v>38.5</v>
      </c>
      <c r="W4" s="17">
        <f>V4-R4-T4-U4</f>
        <v>31.519999999999996</v>
      </c>
    </row>
    <row r="5" spans="1:24" ht="24.95" customHeight="1" thickBot="1" x14ac:dyDescent="0.3">
      <c r="A5" s="203"/>
      <c r="B5" s="13" t="s">
        <v>4</v>
      </c>
      <c r="C5" s="2" t="s">
        <v>3</v>
      </c>
      <c r="D5" s="2" t="s">
        <v>13</v>
      </c>
      <c r="E5" s="2">
        <f>34.7</f>
        <v>34.700000000000003</v>
      </c>
      <c r="F5" s="2">
        <v>26.8</v>
      </c>
      <c r="G5" s="2" t="s">
        <v>6</v>
      </c>
      <c r="H5" s="58">
        <v>2.827</v>
      </c>
      <c r="I5" s="58">
        <v>3.2010000000000001</v>
      </c>
      <c r="J5" s="3" t="str">
        <f>CONCATENATE("(",H5,"+",I5,")/2-0.340")</f>
        <v>(2,827+3,201)/2-0.340</v>
      </c>
      <c r="K5" s="45">
        <f>(H5+I5)/2-0.34</f>
        <v>2.6740000000000004</v>
      </c>
      <c r="L5" s="3" t="s">
        <v>12</v>
      </c>
      <c r="M5" s="3" t="s">
        <v>54</v>
      </c>
      <c r="N5" s="45">
        <f>(5.1+2.1)/2*K5</f>
        <v>9.6264000000000003</v>
      </c>
      <c r="O5" s="4">
        <f>N5*E5</f>
        <v>334.03608000000003</v>
      </c>
      <c r="P5" s="14"/>
      <c r="Q5" s="6">
        <v>4</v>
      </c>
      <c r="R5" s="15">
        <f>Щебень!G5</f>
        <v>2.1600000000000006</v>
      </c>
      <c r="S5" s="15">
        <f>Щебень!I5</f>
        <v>0</v>
      </c>
      <c r="T5" s="15">
        <f>Подб_Роств!G5</f>
        <v>0.83200000000000007</v>
      </c>
      <c r="U5" s="16">
        <f>0.9*1.2*0.6*Q5</f>
        <v>2.5920000000000001</v>
      </c>
      <c r="V5" s="16">
        <f>(2.1+3.4)/2*0.8*E5</f>
        <v>76.340000000000018</v>
      </c>
      <c r="W5" s="17">
        <f t="shared" ref="W5:W26" si="0">V5-R5-T5-U5</f>
        <v>70.756000000000029</v>
      </c>
    </row>
    <row r="6" spans="1:24" ht="15.75" thickBot="1" x14ac:dyDescent="0.3">
      <c r="A6" s="18"/>
      <c r="B6" s="18"/>
      <c r="C6" s="18"/>
      <c r="D6" s="18"/>
      <c r="E6" s="23">
        <f>SUM(E4:E5)</f>
        <v>52.2</v>
      </c>
      <c r="F6" s="23">
        <f>SUM(F4:F5)</f>
        <v>26.8</v>
      </c>
      <c r="G6" s="18"/>
      <c r="H6" s="18"/>
      <c r="I6" s="18"/>
      <c r="J6" s="18"/>
      <c r="K6" s="18"/>
      <c r="L6" s="18"/>
      <c r="M6" s="18"/>
      <c r="N6" s="18"/>
      <c r="O6" s="23">
        <f>SUM(O4:O5)</f>
        <v>422.55108000000001</v>
      </c>
      <c r="P6" s="24"/>
      <c r="Q6" s="31">
        <f>SUM(Q4:Q5)</f>
        <v>9</v>
      </c>
      <c r="R6" s="23">
        <f t="shared" ref="R6:W6" si="1">SUM(R4:R5)</f>
        <v>4.8600000000000012</v>
      </c>
      <c r="S6" s="23">
        <f t="shared" ref="S6" si="2">SUM(S4:S5)</f>
        <v>4.8600000000000012</v>
      </c>
      <c r="T6" s="23">
        <f t="shared" si="1"/>
        <v>1.8720000000000001</v>
      </c>
      <c r="U6" s="23">
        <f t="shared" si="1"/>
        <v>5.8320000000000007</v>
      </c>
      <c r="V6" s="23">
        <f t="shared" si="1"/>
        <v>114.84000000000002</v>
      </c>
      <c r="W6" s="23">
        <f t="shared" si="1"/>
        <v>102.27600000000002</v>
      </c>
    </row>
    <row r="7" spans="1:24" ht="25.5" x14ac:dyDescent="0.25">
      <c r="A7" s="14"/>
      <c r="B7" s="35"/>
      <c r="C7" s="14"/>
      <c r="D7" s="204" t="s">
        <v>32</v>
      </c>
      <c r="E7" s="204"/>
      <c r="F7" s="204"/>
      <c r="G7" s="204"/>
      <c r="H7" s="204"/>
      <c r="I7" s="204"/>
      <c r="J7" s="204"/>
      <c r="K7" s="204"/>
      <c r="L7" s="204"/>
      <c r="M7" s="204"/>
      <c r="N7" s="204"/>
      <c r="O7" s="204"/>
      <c r="P7" s="14"/>
      <c r="Q7" s="20" t="s">
        <v>21</v>
      </c>
      <c r="R7" s="133" t="s">
        <v>96</v>
      </c>
      <c r="S7" s="89" t="s">
        <v>97</v>
      </c>
      <c r="T7" s="20" t="s">
        <v>29</v>
      </c>
      <c r="U7" s="20" t="s">
        <v>27</v>
      </c>
      <c r="V7" s="205" t="s">
        <v>28</v>
      </c>
      <c r="W7" s="205"/>
    </row>
    <row r="8" spans="1:24" ht="26.1" customHeight="1" x14ac:dyDescent="0.25">
      <c r="A8" s="6"/>
      <c r="B8" s="5"/>
      <c r="C8" s="6"/>
      <c r="D8" s="6"/>
      <c r="E8" s="6"/>
      <c r="F8" s="136"/>
      <c r="G8" s="199" t="s">
        <v>9</v>
      </c>
      <c r="H8" s="200"/>
      <c r="I8" s="200"/>
      <c r="J8" s="200"/>
      <c r="K8" s="201"/>
      <c r="L8" s="199" t="s">
        <v>14</v>
      </c>
      <c r="M8" s="200"/>
      <c r="N8" s="201"/>
      <c r="O8" s="7" t="s">
        <v>15</v>
      </c>
      <c r="P8" s="14"/>
      <c r="Q8" s="21" t="s">
        <v>31</v>
      </c>
      <c r="R8" s="21" t="s">
        <v>34</v>
      </c>
      <c r="S8" s="135" t="s">
        <v>34</v>
      </c>
      <c r="T8" s="21" t="s">
        <v>35</v>
      </c>
      <c r="U8" s="7" t="s">
        <v>38</v>
      </c>
      <c r="V8" s="7" t="s">
        <v>37</v>
      </c>
      <c r="W8" s="7" t="s">
        <v>15</v>
      </c>
      <c r="X8" s="1"/>
    </row>
    <row r="9" spans="1:24" ht="26.1" customHeight="1" x14ac:dyDescent="0.25">
      <c r="A9" s="6" t="s">
        <v>19</v>
      </c>
      <c r="B9" s="5" t="s">
        <v>0</v>
      </c>
      <c r="C9" s="6" t="s">
        <v>1</v>
      </c>
      <c r="D9" s="6" t="s">
        <v>39</v>
      </c>
      <c r="E9" s="6" t="s">
        <v>7</v>
      </c>
      <c r="F9" s="140" t="s">
        <v>99</v>
      </c>
      <c r="G9" s="199" t="s">
        <v>11</v>
      </c>
      <c r="H9" s="200"/>
      <c r="I9" s="200"/>
      <c r="J9" s="200"/>
      <c r="K9" s="201"/>
      <c r="L9" s="199" t="s">
        <v>10</v>
      </c>
      <c r="M9" s="200"/>
      <c r="N9" s="201"/>
      <c r="O9" s="7" t="s">
        <v>8</v>
      </c>
      <c r="P9" s="14"/>
      <c r="Q9" s="20" t="s">
        <v>33</v>
      </c>
      <c r="R9" s="33" t="s">
        <v>25</v>
      </c>
      <c r="S9" s="41" t="s">
        <v>25</v>
      </c>
      <c r="T9" s="33" t="s">
        <v>23</v>
      </c>
      <c r="U9" s="20" t="s">
        <v>30</v>
      </c>
      <c r="V9" s="56" t="s">
        <v>55</v>
      </c>
      <c r="W9" s="20" t="s">
        <v>36</v>
      </c>
    </row>
    <row r="10" spans="1:24" ht="25.5" x14ac:dyDescent="0.25">
      <c r="A10" s="198">
        <v>2</v>
      </c>
      <c r="B10" s="13" t="s">
        <v>4</v>
      </c>
      <c r="C10" s="2" t="s">
        <v>3</v>
      </c>
      <c r="D10" s="2" t="s">
        <v>5</v>
      </c>
      <c r="E10" s="2">
        <v>54.2</v>
      </c>
      <c r="F10" s="2">
        <v>39</v>
      </c>
      <c r="G10" s="2" t="s">
        <v>6</v>
      </c>
      <c r="H10" s="58">
        <v>3.222</v>
      </c>
      <c r="I10" s="58">
        <v>3.8450000000000002</v>
      </c>
      <c r="J10" s="3" t="str">
        <f>CONCATENATE("(",H10,"+",I10,")/2-0.340")</f>
        <v>(3,222+3,845)/2-0.340</v>
      </c>
      <c r="K10" s="45">
        <f>(H10+I10)/2-0.34</f>
        <v>3.1935000000000002</v>
      </c>
      <c r="L10" s="3" t="s">
        <v>12</v>
      </c>
      <c r="M10" s="3" t="s">
        <v>54</v>
      </c>
      <c r="N10" s="45">
        <f>(5.1+2.1)/2*K10</f>
        <v>11.496599999999999</v>
      </c>
      <c r="O10" s="4">
        <f>N10*E10</f>
        <v>623.11572000000001</v>
      </c>
      <c r="P10" s="14"/>
      <c r="Q10" s="6">
        <v>4</v>
      </c>
      <c r="R10" s="15">
        <f>Щебень!G12</f>
        <v>2.1600000000000006</v>
      </c>
      <c r="S10" s="15">
        <f>Щебень!I12</f>
        <v>5.4000000000000021</v>
      </c>
      <c r="T10" s="15">
        <f>Подб_Роств!G12</f>
        <v>0.83200000000000007</v>
      </c>
      <c r="U10" s="16">
        <f>0.9*1.2*0.6*Q10</f>
        <v>2.5920000000000001</v>
      </c>
      <c r="V10" s="16">
        <f>(2.1+3.4)/2*0.8*E10</f>
        <v>119.24000000000001</v>
      </c>
      <c r="W10" s="17">
        <f t="shared" si="0"/>
        <v>113.65600000000002</v>
      </c>
    </row>
    <row r="11" spans="1:24" ht="26.25" thickBot="1" x14ac:dyDescent="0.3">
      <c r="A11" s="198"/>
      <c r="B11" s="13" t="s">
        <v>4</v>
      </c>
      <c r="C11" s="2" t="s">
        <v>3</v>
      </c>
      <c r="D11" s="2" t="s">
        <v>13</v>
      </c>
      <c r="E11" s="2">
        <v>21.5</v>
      </c>
      <c r="F11" s="2"/>
      <c r="G11" s="2" t="s">
        <v>6</v>
      </c>
      <c r="H11" s="58">
        <v>1.6579999999999999</v>
      </c>
      <c r="I11" s="58">
        <v>1.9019999999999999</v>
      </c>
      <c r="J11" s="3" t="str">
        <f>CONCATENATE("(",H11,"+",I11,")/2-0.340")</f>
        <v>(1,658+1,902)/2-0.340</v>
      </c>
      <c r="K11" s="45">
        <f>(H11+I11)/2-0.34</f>
        <v>1.4399999999999997</v>
      </c>
      <c r="L11" s="3" t="s">
        <v>12</v>
      </c>
      <c r="M11" s="3" t="s">
        <v>54</v>
      </c>
      <c r="N11" s="45">
        <f>(5.1+2.1)/2*K11</f>
        <v>5.1839999999999984</v>
      </c>
      <c r="O11" s="4">
        <f>N11*E11</f>
        <v>111.45599999999996</v>
      </c>
      <c r="P11" s="14"/>
      <c r="Q11" s="6">
        <v>6</v>
      </c>
      <c r="R11" s="15">
        <f>Щебень!G13</f>
        <v>3.2400000000000011</v>
      </c>
      <c r="S11" s="15">
        <f>Щебень!I13</f>
        <v>0</v>
      </c>
      <c r="T11" s="15">
        <f>Подб_Роств!G13</f>
        <v>1.2480000000000002</v>
      </c>
      <c r="U11" s="16">
        <f>0.9*1.2*0.6*Q11</f>
        <v>3.8879999999999999</v>
      </c>
      <c r="V11" s="16">
        <f>(2.1+3.4)/2*0.8*E11</f>
        <v>47.300000000000004</v>
      </c>
      <c r="W11" s="17">
        <f t="shared" si="0"/>
        <v>38.924000000000007</v>
      </c>
    </row>
    <row r="12" spans="1:24" ht="15.75" thickBot="1" x14ac:dyDescent="0.3">
      <c r="A12" s="18"/>
      <c r="B12" s="18"/>
      <c r="C12" s="18"/>
      <c r="D12" s="18"/>
      <c r="E12" s="23">
        <f>SUM(E10:E11)</f>
        <v>75.7</v>
      </c>
      <c r="F12" s="23">
        <f>SUM(F10:F11)</f>
        <v>39</v>
      </c>
      <c r="G12" s="18"/>
      <c r="H12" s="18"/>
      <c r="I12" s="18"/>
      <c r="J12" s="18"/>
      <c r="K12" s="18"/>
      <c r="L12" s="18"/>
      <c r="M12" s="18"/>
      <c r="N12" s="18"/>
      <c r="O12" s="23">
        <f>SUM(O10:O11)</f>
        <v>734.57171999999991</v>
      </c>
      <c r="P12" s="24"/>
      <c r="Q12" s="31">
        <f t="shared" ref="Q12:W12" si="3">SUM(Q10:Q11)</f>
        <v>10</v>
      </c>
      <c r="R12" s="23">
        <f t="shared" si="3"/>
        <v>5.4000000000000021</v>
      </c>
      <c r="S12" s="23">
        <f t="shared" ref="S12" si="4">SUM(S10:S11)</f>
        <v>5.4000000000000021</v>
      </c>
      <c r="T12" s="23">
        <f t="shared" si="3"/>
        <v>2.08</v>
      </c>
      <c r="U12" s="23">
        <f t="shared" si="3"/>
        <v>6.48</v>
      </c>
      <c r="V12" s="23">
        <f t="shared" si="3"/>
        <v>166.54000000000002</v>
      </c>
      <c r="W12" s="23">
        <f t="shared" si="3"/>
        <v>152.58000000000004</v>
      </c>
    </row>
    <row r="13" spans="1:24" ht="25.5" x14ac:dyDescent="0.25">
      <c r="A13" s="14"/>
      <c r="B13" s="35"/>
      <c r="C13" s="14"/>
      <c r="D13" s="204" t="s">
        <v>32</v>
      </c>
      <c r="E13" s="204"/>
      <c r="F13" s="204"/>
      <c r="G13" s="204"/>
      <c r="H13" s="204"/>
      <c r="I13" s="204"/>
      <c r="J13" s="204"/>
      <c r="K13" s="204"/>
      <c r="L13" s="204"/>
      <c r="M13" s="204"/>
      <c r="N13" s="204"/>
      <c r="O13" s="204"/>
      <c r="P13" s="14"/>
      <c r="Q13" s="20" t="s">
        <v>21</v>
      </c>
      <c r="R13" s="133" t="s">
        <v>96</v>
      </c>
      <c r="S13" s="89" t="s">
        <v>97</v>
      </c>
      <c r="T13" s="20" t="s">
        <v>29</v>
      </c>
      <c r="U13" s="20" t="s">
        <v>27</v>
      </c>
      <c r="V13" s="205" t="s">
        <v>28</v>
      </c>
      <c r="W13" s="205"/>
    </row>
    <row r="14" spans="1:24" ht="26.1" customHeight="1" x14ac:dyDescent="0.25">
      <c r="A14" s="6"/>
      <c r="B14" s="5"/>
      <c r="C14" s="6"/>
      <c r="D14" s="6"/>
      <c r="E14" s="6"/>
      <c r="F14" s="136"/>
      <c r="G14" s="199" t="s">
        <v>9</v>
      </c>
      <c r="H14" s="200"/>
      <c r="I14" s="200"/>
      <c r="J14" s="200"/>
      <c r="K14" s="201"/>
      <c r="L14" s="199" t="s">
        <v>14</v>
      </c>
      <c r="M14" s="200"/>
      <c r="N14" s="201"/>
      <c r="O14" s="7" t="s">
        <v>15</v>
      </c>
      <c r="P14" s="14"/>
      <c r="Q14" s="21" t="s">
        <v>31</v>
      </c>
      <c r="R14" s="21" t="s">
        <v>34</v>
      </c>
      <c r="S14" s="135" t="s">
        <v>34</v>
      </c>
      <c r="T14" s="21" t="s">
        <v>35</v>
      </c>
      <c r="U14" s="7" t="s">
        <v>38</v>
      </c>
      <c r="V14" s="7" t="s">
        <v>37</v>
      </c>
      <c r="W14" s="7" t="s">
        <v>15</v>
      </c>
      <c r="X14" s="1"/>
    </row>
    <row r="15" spans="1:24" ht="26.1" customHeight="1" x14ac:dyDescent="0.25">
      <c r="A15" s="6" t="s">
        <v>19</v>
      </c>
      <c r="B15" s="5" t="s">
        <v>0</v>
      </c>
      <c r="C15" s="6" t="s">
        <v>1</v>
      </c>
      <c r="D15" s="6" t="s">
        <v>39</v>
      </c>
      <c r="E15" s="6" t="s">
        <v>7</v>
      </c>
      <c r="F15" s="140" t="s">
        <v>99</v>
      </c>
      <c r="G15" s="199" t="s">
        <v>11</v>
      </c>
      <c r="H15" s="200"/>
      <c r="I15" s="200"/>
      <c r="J15" s="200"/>
      <c r="K15" s="201"/>
      <c r="L15" s="199" t="s">
        <v>10</v>
      </c>
      <c r="M15" s="200"/>
      <c r="N15" s="201"/>
      <c r="O15" s="7" t="s">
        <v>8</v>
      </c>
      <c r="P15" s="14"/>
      <c r="Q15" s="20" t="s">
        <v>33</v>
      </c>
      <c r="R15" s="33" t="s">
        <v>25</v>
      </c>
      <c r="S15" s="41" t="s">
        <v>25</v>
      </c>
      <c r="T15" s="33" t="s">
        <v>23</v>
      </c>
      <c r="U15" s="20" t="s">
        <v>30</v>
      </c>
      <c r="V15" s="56" t="s">
        <v>55</v>
      </c>
      <c r="W15" s="20" t="s">
        <v>36</v>
      </c>
    </row>
    <row r="16" spans="1:24" ht="25.5" x14ac:dyDescent="0.25">
      <c r="A16" s="198">
        <v>3</v>
      </c>
      <c r="B16" s="13" t="s">
        <v>4</v>
      </c>
      <c r="C16" s="2" t="s">
        <v>3</v>
      </c>
      <c r="D16" s="2" t="s">
        <v>5</v>
      </c>
      <c r="E16" s="2">
        <f>39+3.9</f>
        <v>42.9</v>
      </c>
      <c r="F16" s="2">
        <v>29.8</v>
      </c>
      <c r="G16" s="2" t="s">
        <v>6</v>
      </c>
      <c r="H16" s="58">
        <v>3.3410000000000002</v>
      </c>
      <c r="I16" s="58">
        <v>3.88</v>
      </c>
      <c r="J16" s="3" t="str">
        <f>CONCATENATE("(",H16,"+",I16,")/2-0.340")</f>
        <v>(3,341+3,88)/2-0.340</v>
      </c>
      <c r="K16" s="45">
        <f>(H16+I16)/2-0.34</f>
        <v>3.2705000000000002</v>
      </c>
      <c r="L16" s="3" t="s">
        <v>12</v>
      </c>
      <c r="M16" s="3" t="s">
        <v>54</v>
      </c>
      <c r="N16" s="45">
        <f>(5.1+2.1)/2*K16</f>
        <v>11.7738</v>
      </c>
      <c r="O16" s="4">
        <f>N16*E16</f>
        <v>505.09601999999995</v>
      </c>
      <c r="P16" s="14"/>
      <c r="Q16" s="6">
        <v>3</v>
      </c>
      <c r="R16" s="15">
        <f>Щебень!G20</f>
        <v>1.6200000000000006</v>
      </c>
      <c r="S16" s="15">
        <f>Щебень!I20</f>
        <v>6.4800000000000022</v>
      </c>
      <c r="T16" s="15">
        <f>Подб_Роств!G20</f>
        <v>0.62400000000000011</v>
      </c>
      <c r="U16" s="16">
        <f>0.9*1.2*0.6*Q16</f>
        <v>1.944</v>
      </c>
      <c r="V16" s="16">
        <f>(2.1+3.4)/2*0.8*E16</f>
        <v>94.38000000000001</v>
      </c>
      <c r="W16" s="17">
        <f t="shared" si="0"/>
        <v>90.192000000000007</v>
      </c>
    </row>
    <row r="17" spans="1:24" ht="25.5" x14ac:dyDescent="0.25">
      <c r="A17" s="198"/>
      <c r="B17" s="13" t="s">
        <v>4</v>
      </c>
      <c r="C17" s="2" t="s">
        <v>3</v>
      </c>
      <c r="D17" s="2" t="s">
        <v>13</v>
      </c>
      <c r="E17" s="2">
        <v>20.9</v>
      </c>
      <c r="F17" s="2"/>
      <c r="G17" s="2" t="s">
        <v>6</v>
      </c>
      <c r="H17" s="58">
        <v>1.18</v>
      </c>
      <c r="I17" s="58">
        <v>2.48</v>
      </c>
      <c r="J17" s="3" t="str">
        <f>CONCATENATE("(",H17,"+",I17,")/2-0.340")</f>
        <v>(1,18+2,48)/2-0.340</v>
      </c>
      <c r="K17" s="45">
        <f>(H17+I17)/2-0.34</f>
        <v>1.49</v>
      </c>
      <c r="L17" s="3" t="s">
        <v>12</v>
      </c>
      <c r="M17" s="3" t="s">
        <v>54</v>
      </c>
      <c r="N17" s="45">
        <f>(5.1+2.1)/2*K17</f>
        <v>5.3639999999999999</v>
      </c>
      <c r="O17" s="4">
        <f>N17*E17</f>
        <v>112.10759999999999</v>
      </c>
      <c r="P17" s="14"/>
      <c r="Q17" s="6">
        <v>6</v>
      </c>
      <c r="R17" s="15">
        <f>Щебень!G21</f>
        <v>3.2400000000000011</v>
      </c>
      <c r="S17" s="15">
        <f>Щебень!I21</f>
        <v>0</v>
      </c>
      <c r="T17" s="15">
        <f>Подб_Роств!G21</f>
        <v>1.2480000000000002</v>
      </c>
      <c r="U17" s="16">
        <f t="shared" ref="U17:U26" si="5">0.9*1.2*0.6*Q17</f>
        <v>3.8879999999999999</v>
      </c>
      <c r="V17" s="16">
        <f>(2.1+3.4)/2*0.8*E17</f>
        <v>45.980000000000004</v>
      </c>
      <c r="W17" s="17">
        <f t="shared" si="0"/>
        <v>37.604000000000006</v>
      </c>
    </row>
    <row r="18" spans="1:24" ht="25.5" x14ac:dyDescent="0.25">
      <c r="A18" s="198"/>
      <c r="B18" s="13" t="s">
        <v>4</v>
      </c>
      <c r="C18" s="2" t="s">
        <v>3</v>
      </c>
      <c r="D18" s="2" t="s">
        <v>16</v>
      </c>
      <c r="E18" s="2">
        <v>12.5</v>
      </c>
      <c r="F18" s="2">
        <v>11.7</v>
      </c>
      <c r="G18" s="2" t="s">
        <v>6</v>
      </c>
      <c r="H18" s="58">
        <v>2.6120000000000001</v>
      </c>
      <c r="I18" s="58">
        <v>2.7170000000000001</v>
      </c>
      <c r="J18" s="3" t="str">
        <f>CONCATENATE("(",H18,"+",I18,")/2-0.340")</f>
        <v>(2,612+2,717)/2-0.340</v>
      </c>
      <c r="K18" s="45">
        <f>(H18+I18)/2-0.34</f>
        <v>2.3245000000000005</v>
      </c>
      <c r="L18" s="3" t="s">
        <v>12</v>
      </c>
      <c r="M18" s="3" t="s">
        <v>54</v>
      </c>
      <c r="N18" s="45">
        <f>(5.1+2.1)/2*K18</f>
        <v>8.3682000000000016</v>
      </c>
      <c r="O18" s="4">
        <f>N18*E18</f>
        <v>104.60250000000002</v>
      </c>
      <c r="P18" s="14"/>
      <c r="Q18" s="6">
        <v>0</v>
      </c>
      <c r="R18" s="15">
        <f>Щебень!G22</f>
        <v>0</v>
      </c>
      <c r="S18" s="15">
        <f>Щебень!I22</f>
        <v>0</v>
      </c>
      <c r="T18" s="15">
        <f>Подб_Роств!G22</f>
        <v>0</v>
      </c>
      <c r="U18" s="16">
        <f t="shared" si="5"/>
        <v>0</v>
      </c>
      <c r="V18" s="16">
        <f>(2.1+3.4)/2*0.8*E18</f>
        <v>27.500000000000004</v>
      </c>
      <c r="W18" s="17">
        <f t="shared" si="0"/>
        <v>27.500000000000004</v>
      </c>
    </row>
    <row r="19" spans="1:24" ht="26.25" thickBot="1" x14ac:dyDescent="0.3">
      <c r="A19" s="198"/>
      <c r="B19" s="13" t="s">
        <v>4</v>
      </c>
      <c r="C19" s="2" t="s">
        <v>3</v>
      </c>
      <c r="D19" s="2" t="s">
        <v>17</v>
      </c>
      <c r="E19" s="2">
        <v>42.1</v>
      </c>
      <c r="F19" s="2">
        <v>28.1</v>
      </c>
      <c r="G19" s="2" t="s">
        <v>6</v>
      </c>
      <c r="H19" s="58">
        <v>3.004</v>
      </c>
      <c r="I19" s="58">
        <v>3.44</v>
      </c>
      <c r="J19" s="3" t="str">
        <f>CONCATENATE("(",H19,"+",I19,")/2-0.340")</f>
        <v>(3,004+3,44)/2-0.340</v>
      </c>
      <c r="K19" s="45">
        <f>(H19+I19)/2-0.34</f>
        <v>2.8820000000000001</v>
      </c>
      <c r="L19" s="3" t="s">
        <v>12</v>
      </c>
      <c r="M19" s="3" t="s">
        <v>54</v>
      </c>
      <c r="N19" s="45">
        <f>(5.1+2.1)/2*K19</f>
        <v>10.3752</v>
      </c>
      <c r="O19" s="4">
        <f>N19*E19</f>
        <v>436.79591999999997</v>
      </c>
      <c r="P19" s="14"/>
      <c r="Q19" s="6">
        <v>3</v>
      </c>
      <c r="R19" s="15">
        <f>Щебень!G23</f>
        <v>1.6200000000000006</v>
      </c>
      <c r="S19" s="15">
        <f>Щебень!I23</f>
        <v>0</v>
      </c>
      <c r="T19" s="15">
        <f>Подб_Роств!G23</f>
        <v>1.2720000000000002</v>
      </c>
      <c r="U19" s="16">
        <f>1.2*1.25*0.6*Q19</f>
        <v>2.6999999999999997</v>
      </c>
      <c r="V19" s="16">
        <f>(2.1+3.4)/2*0.8*E19</f>
        <v>92.62</v>
      </c>
      <c r="W19" s="17">
        <f t="shared" si="0"/>
        <v>87.027999999999992</v>
      </c>
    </row>
    <row r="20" spans="1:24" ht="15.75" thickBot="1" x14ac:dyDescent="0.3">
      <c r="A20" s="18"/>
      <c r="B20" s="18"/>
      <c r="C20" s="18"/>
      <c r="D20" s="53"/>
      <c r="E20" s="54">
        <f>SUM(E16:E19)</f>
        <v>118.4</v>
      </c>
      <c r="F20" s="54">
        <f>SUM(F16:F19)</f>
        <v>69.599999999999994</v>
      </c>
      <c r="G20" s="53"/>
      <c r="H20" s="53"/>
      <c r="I20" s="53"/>
      <c r="J20" s="53"/>
      <c r="K20" s="53"/>
      <c r="L20" s="53"/>
      <c r="M20" s="53"/>
      <c r="N20" s="53"/>
      <c r="O20" s="54">
        <f>SUM(O16:O19)</f>
        <v>1158.60204</v>
      </c>
      <c r="P20" s="24"/>
      <c r="Q20" s="31">
        <f>SUM(Q16:Q19)</f>
        <v>12</v>
      </c>
      <c r="R20" s="23">
        <f t="shared" ref="R20:W20" si="6">SUM(R16:R19)</f>
        <v>6.4800000000000022</v>
      </c>
      <c r="S20" s="23">
        <f t="shared" ref="S20" si="7">SUM(S16:S19)</f>
        <v>6.4800000000000022</v>
      </c>
      <c r="T20" s="23">
        <f t="shared" si="6"/>
        <v>3.1440000000000006</v>
      </c>
      <c r="U20" s="23">
        <f t="shared" si="6"/>
        <v>8.532</v>
      </c>
      <c r="V20" s="23">
        <f t="shared" si="6"/>
        <v>260.48</v>
      </c>
      <c r="W20" s="23">
        <f t="shared" si="6"/>
        <v>242.32400000000001</v>
      </c>
    </row>
    <row r="21" spans="1:24" ht="25.5" x14ac:dyDescent="0.25">
      <c r="A21" s="14"/>
      <c r="B21" s="35"/>
      <c r="C21" s="14"/>
      <c r="D21" s="206" t="s">
        <v>32</v>
      </c>
      <c r="E21" s="206"/>
      <c r="F21" s="206"/>
      <c r="G21" s="206"/>
      <c r="H21" s="206"/>
      <c r="I21" s="206"/>
      <c r="J21" s="206"/>
      <c r="K21" s="206"/>
      <c r="L21" s="206"/>
      <c r="M21" s="206"/>
      <c r="N21" s="206"/>
      <c r="O21" s="206"/>
      <c r="P21" s="14"/>
      <c r="Q21" s="20" t="s">
        <v>21</v>
      </c>
      <c r="R21" s="133" t="s">
        <v>96</v>
      </c>
      <c r="S21" s="89" t="s">
        <v>97</v>
      </c>
      <c r="T21" s="20" t="s">
        <v>29</v>
      </c>
      <c r="U21" s="20" t="s">
        <v>27</v>
      </c>
      <c r="V21" s="205" t="s">
        <v>28</v>
      </c>
      <c r="W21" s="205"/>
    </row>
    <row r="22" spans="1:24" ht="26.1" customHeight="1" x14ac:dyDescent="0.25">
      <c r="A22" s="6"/>
      <c r="B22" s="5"/>
      <c r="C22" s="6"/>
      <c r="D22" s="52"/>
      <c r="E22" s="52"/>
      <c r="F22" s="136"/>
      <c r="G22" s="199" t="s">
        <v>9</v>
      </c>
      <c r="H22" s="200"/>
      <c r="I22" s="200"/>
      <c r="J22" s="200"/>
      <c r="K22" s="201"/>
      <c r="L22" s="199" t="s">
        <v>14</v>
      </c>
      <c r="M22" s="200"/>
      <c r="N22" s="201"/>
      <c r="O22" s="7" t="s">
        <v>15</v>
      </c>
      <c r="P22" s="14"/>
      <c r="Q22" s="21" t="s">
        <v>31</v>
      </c>
      <c r="R22" s="21" t="s">
        <v>34</v>
      </c>
      <c r="S22" s="135" t="s">
        <v>34</v>
      </c>
      <c r="T22" s="21" t="s">
        <v>35</v>
      </c>
      <c r="U22" s="7" t="s">
        <v>38</v>
      </c>
      <c r="V22" s="7" t="s">
        <v>37</v>
      </c>
      <c r="W22" s="7" t="s">
        <v>15</v>
      </c>
      <c r="X22" s="1"/>
    </row>
    <row r="23" spans="1:24" ht="26.1" customHeight="1" x14ac:dyDescent="0.25">
      <c r="A23" s="6" t="s">
        <v>19</v>
      </c>
      <c r="B23" s="5" t="s">
        <v>0</v>
      </c>
      <c r="C23" s="6" t="s">
        <v>1</v>
      </c>
      <c r="D23" s="52" t="s">
        <v>39</v>
      </c>
      <c r="E23" s="52" t="s">
        <v>7</v>
      </c>
      <c r="F23" s="140" t="s">
        <v>99</v>
      </c>
      <c r="G23" s="199" t="s">
        <v>11</v>
      </c>
      <c r="H23" s="200"/>
      <c r="I23" s="200"/>
      <c r="J23" s="200"/>
      <c r="K23" s="201"/>
      <c r="L23" s="199" t="s">
        <v>10</v>
      </c>
      <c r="M23" s="200"/>
      <c r="N23" s="201"/>
      <c r="O23" s="7" t="s">
        <v>8</v>
      </c>
      <c r="P23" s="14"/>
      <c r="Q23" s="20" t="s">
        <v>33</v>
      </c>
      <c r="R23" s="33" t="s">
        <v>25</v>
      </c>
      <c r="S23" s="41" t="s">
        <v>25</v>
      </c>
      <c r="T23" s="33" t="s">
        <v>23</v>
      </c>
      <c r="U23" s="20" t="s">
        <v>30</v>
      </c>
      <c r="V23" s="56" t="s">
        <v>55</v>
      </c>
      <c r="W23" s="20" t="s">
        <v>36</v>
      </c>
    </row>
    <row r="24" spans="1:24" ht="25.5" x14ac:dyDescent="0.25">
      <c r="A24" s="198">
        <v>4</v>
      </c>
      <c r="B24" s="13" t="s">
        <v>4</v>
      </c>
      <c r="C24" s="2" t="s">
        <v>3</v>
      </c>
      <c r="D24" s="2" t="s">
        <v>5</v>
      </c>
      <c r="E24" s="2">
        <f>67.6+3.1*4</f>
        <v>80</v>
      </c>
      <c r="F24" s="2">
        <v>31.7</v>
      </c>
      <c r="G24" s="2" t="s">
        <v>6</v>
      </c>
      <c r="H24" s="58">
        <v>2.6259999999999999</v>
      </c>
      <c r="I24" s="58">
        <v>3.4409999999999998</v>
      </c>
      <c r="J24" s="3" t="str">
        <f>CONCATENATE("(",H24,"+",I24,")/2-0.340")</f>
        <v>(2,626+3,441)/2-0.340</v>
      </c>
      <c r="K24" s="45">
        <f>(H24+I24)/2-0.34</f>
        <v>2.6935000000000002</v>
      </c>
      <c r="L24" s="3" t="s">
        <v>12</v>
      </c>
      <c r="M24" s="3" t="s">
        <v>54</v>
      </c>
      <c r="N24" s="45">
        <f>(5.1+2.1)/2*K24</f>
        <v>9.6966000000000001</v>
      </c>
      <c r="O24" s="4">
        <f>N24*E24</f>
        <v>775.72800000000007</v>
      </c>
      <c r="P24" s="14"/>
      <c r="Q24" s="6">
        <v>13</v>
      </c>
      <c r="R24" s="15">
        <f>Щебень!G32</f>
        <v>7.0200000000000022</v>
      </c>
      <c r="S24" s="15">
        <f>Щебень!I32</f>
        <v>15.660000000000004</v>
      </c>
      <c r="T24" s="15">
        <f>Подб_Роств!G32</f>
        <v>2.7040000000000002</v>
      </c>
      <c r="U24" s="16">
        <f t="shared" si="5"/>
        <v>8.4239999999999995</v>
      </c>
      <c r="V24" s="16">
        <f>(2.1+3.4)/2*0.8*E24</f>
        <v>176</v>
      </c>
      <c r="W24" s="17">
        <f t="shared" si="0"/>
        <v>157.85199999999998</v>
      </c>
    </row>
    <row r="25" spans="1:24" ht="25.5" x14ac:dyDescent="0.25">
      <c r="A25" s="198"/>
      <c r="B25" s="13" t="s">
        <v>4</v>
      </c>
      <c r="C25" s="2" t="s">
        <v>3</v>
      </c>
      <c r="D25" s="2" t="s">
        <v>13</v>
      </c>
      <c r="E25" s="2">
        <v>23.3</v>
      </c>
      <c r="F25" s="2">
        <v>9.8000000000000007</v>
      </c>
      <c r="G25" s="2" t="s">
        <v>6</v>
      </c>
      <c r="H25" s="58">
        <v>2.6880000000000002</v>
      </c>
      <c r="I25" s="58">
        <v>2.887</v>
      </c>
      <c r="J25" s="3" t="str">
        <f>CONCATENATE("(",H25,"+",I25,")/2-0.340")</f>
        <v>(2,688+2,887)/2-0.340</v>
      </c>
      <c r="K25" s="45">
        <f>(H25+I25)/2-0.34</f>
        <v>2.4475000000000002</v>
      </c>
      <c r="L25" s="3" t="s">
        <v>12</v>
      </c>
      <c r="M25" s="3" t="s">
        <v>54</v>
      </c>
      <c r="N25" s="45">
        <f>(5.1+2.1)/2*K25</f>
        <v>8.8109999999999999</v>
      </c>
      <c r="O25" s="4">
        <f>N25*E25</f>
        <v>205.2963</v>
      </c>
      <c r="P25" s="14"/>
      <c r="Q25" s="6">
        <v>3</v>
      </c>
      <c r="R25" s="15">
        <f>Щебень!G33</f>
        <v>1.6200000000000006</v>
      </c>
      <c r="S25" s="15">
        <f>Щебень!I33</f>
        <v>0</v>
      </c>
      <c r="T25" s="15">
        <f>Подб_Роств!G33</f>
        <v>0.62400000000000011</v>
      </c>
      <c r="U25" s="16">
        <f t="shared" si="5"/>
        <v>1.944</v>
      </c>
      <c r="V25" s="16">
        <f>(2.1+3.4)/2*0.8*E25</f>
        <v>51.260000000000005</v>
      </c>
      <c r="W25" s="17">
        <f t="shared" si="0"/>
        <v>47.072000000000003</v>
      </c>
    </row>
    <row r="26" spans="1:24" ht="26.25" thickBot="1" x14ac:dyDescent="0.3">
      <c r="A26" s="198"/>
      <c r="B26" s="13" t="s">
        <v>4</v>
      </c>
      <c r="C26" s="2" t="s">
        <v>3</v>
      </c>
      <c r="D26" s="2" t="s">
        <v>16</v>
      </c>
      <c r="E26" s="2">
        <v>58.5</v>
      </c>
      <c r="F26" s="2">
        <v>9.5</v>
      </c>
      <c r="G26" s="2" t="s">
        <v>6</v>
      </c>
      <c r="H26" s="58">
        <v>1.6739999999999999</v>
      </c>
      <c r="I26" s="58">
        <v>1.877</v>
      </c>
      <c r="J26" s="3" t="str">
        <f>CONCATENATE("(",H26,"+",I26,")/2-0.340")</f>
        <v>(1,674+1,877)/2-0.340</v>
      </c>
      <c r="K26" s="45">
        <f>(H26+I26)/2-0.34</f>
        <v>1.4355</v>
      </c>
      <c r="L26" s="3" t="s">
        <v>12</v>
      </c>
      <c r="M26" s="3" t="s">
        <v>54</v>
      </c>
      <c r="N26" s="45">
        <f>(5.1+2.1)/2*K26</f>
        <v>5.1677999999999997</v>
      </c>
      <c r="O26" s="4">
        <f>N26*E26</f>
        <v>302.31629999999996</v>
      </c>
      <c r="P26" s="14"/>
      <c r="Q26" s="6">
        <v>13</v>
      </c>
      <c r="R26" s="15">
        <f>Щебень!G34</f>
        <v>7.0200000000000022</v>
      </c>
      <c r="S26" s="15">
        <f>Щебень!I34</f>
        <v>0</v>
      </c>
      <c r="T26" s="15">
        <f>Подб_Роств!G34</f>
        <v>2.7040000000000002</v>
      </c>
      <c r="U26" s="16">
        <f t="shared" si="5"/>
        <v>8.4239999999999995</v>
      </c>
      <c r="V26" s="16">
        <f>(2.1+3.4)/2*0.8*E26</f>
        <v>128.70000000000002</v>
      </c>
      <c r="W26" s="17">
        <f t="shared" si="0"/>
        <v>110.55200000000002</v>
      </c>
    </row>
    <row r="27" spans="1:24" ht="15.75" thickBot="1" x14ac:dyDescent="0.3">
      <c r="A27" s="14"/>
      <c r="B27" s="14"/>
      <c r="C27" s="14"/>
      <c r="D27" s="55"/>
      <c r="E27" s="54">
        <f>SUM(E24:E26)</f>
        <v>161.80000000000001</v>
      </c>
      <c r="F27" s="54">
        <f>SUM(F24:F26)</f>
        <v>51</v>
      </c>
      <c r="G27" s="55"/>
      <c r="H27" s="55"/>
      <c r="I27" s="55"/>
      <c r="J27" s="55"/>
      <c r="K27" s="55"/>
      <c r="L27" s="55"/>
      <c r="M27" s="55"/>
      <c r="N27" s="55"/>
      <c r="O27" s="54">
        <f>SUM(O24:O26)</f>
        <v>1283.3406</v>
      </c>
      <c r="P27" s="29"/>
      <c r="Q27" s="31">
        <f>SUM(Q24:Q26)</f>
        <v>29</v>
      </c>
      <c r="R27" s="23">
        <f t="shared" ref="R27:W27" si="8">SUM(R24:R26)</f>
        <v>15.660000000000004</v>
      </c>
      <c r="S27" s="23">
        <f t="shared" ref="S27" si="9">SUM(S24:S26)</f>
        <v>15.660000000000004</v>
      </c>
      <c r="T27" s="23">
        <f t="shared" si="8"/>
        <v>6.032</v>
      </c>
      <c r="U27" s="23">
        <f t="shared" si="8"/>
        <v>18.791999999999998</v>
      </c>
      <c r="V27" s="23">
        <f t="shared" si="8"/>
        <v>355.96000000000004</v>
      </c>
      <c r="W27" s="23">
        <f t="shared" si="8"/>
        <v>315.476</v>
      </c>
    </row>
    <row r="28" spans="1:24" ht="15.75" thickBot="1" x14ac:dyDescent="0.3">
      <c r="A28" s="14"/>
      <c r="B28" s="14"/>
      <c r="C28" s="14"/>
      <c r="D28" s="55"/>
      <c r="E28" s="55"/>
      <c r="F28" s="55"/>
      <c r="G28" s="55"/>
      <c r="H28" s="55"/>
      <c r="I28" s="55"/>
      <c r="J28" s="55"/>
      <c r="K28" s="55"/>
      <c r="L28" s="55"/>
      <c r="M28" s="55"/>
      <c r="N28" s="55"/>
      <c r="O28" s="55"/>
      <c r="P28" s="14"/>
      <c r="Q28" s="14"/>
      <c r="R28" s="14"/>
      <c r="S28" s="14"/>
      <c r="T28" s="14"/>
      <c r="U28" s="14"/>
      <c r="V28" s="14"/>
      <c r="W28" s="14"/>
    </row>
    <row r="29" spans="1:24" ht="15.75" thickBot="1" x14ac:dyDescent="0.3">
      <c r="A29" s="14"/>
      <c r="B29" s="14"/>
      <c r="C29" s="14"/>
      <c r="D29" s="14"/>
      <c r="E29" s="32">
        <f>E6+E12+E20+E27</f>
        <v>408.1</v>
      </c>
      <c r="F29" s="141">
        <f>F6+F12+F20+F27</f>
        <v>186.39999999999998</v>
      </c>
      <c r="G29" s="14"/>
      <c r="H29" s="14"/>
      <c r="I29" s="14"/>
      <c r="J29" s="14"/>
      <c r="K29" s="14"/>
      <c r="L29" s="14"/>
      <c r="M29" s="14"/>
      <c r="N29" s="14"/>
      <c r="O29" s="32">
        <f>O6+O12+O20+O27</f>
        <v>3599.0654399999999</v>
      </c>
      <c r="P29" s="29"/>
      <c r="Q29" s="30">
        <f t="shared" ref="Q29:W29" si="10">Q6+Q12+Q20+Q27</f>
        <v>60</v>
      </c>
      <c r="R29" s="32">
        <f t="shared" si="10"/>
        <v>32.400000000000006</v>
      </c>
      <c r="S29" s="32">
        <f t="shared" ref="S29" si="11">S6+S12+S20+S27</f>
        <v>32.400000000000006</v>
      </c>
      <c r="T29" s="32">
        <f t="shared" si="10"/>
        <v>13.128</v>
      </c>
      <c r="U29" s="32">
        <f t="shared" si="10"/>
        <v>39.635999999999996</v>
      </c>
      <c r="V29" s="32">
        <f t="shared" si="10"/>
        <v>897.82000000000016</v>
      </c>
      <c r="W29" s="32">
        <f t="shared" si="10"/>
        <v>812.65600000000006</v>
      </c>
    </row>
  </sheetData>
  <mergeCells count="28">
    <mergeCell ref="V21:W21"/>
    <mergeCell ref="G22:K22"/>
    <mergeCell ref="L22:N22"/>
    <mergeCell ref="G9:K9"/>
    <mergeCell ref="L9:N9"/>
    <mergeCell ref="D13:O13"/>
    <mergeCell ref="V13:W13"/>
    <mergeCell ref="G14:K14"/>
    <mergeCell ref="L14:N14"/>
    <mergeCell ref="G15:K15"/>
    <mergeCell ref="L15:N15"/>
    <mergeCell ref="D21:O21"/>
    <mergeCell ref="V7:W7"/>
    <mergeCell ref="G8:K8"/>
    <mergeCell ref="L8:N8"/>
    <mergeCell ref="D1:O1"/>
    <mergeCell ref="G2:K2"/>
    <mergeCell ref="L2:N2"/>
    <mergeCell ref="V1:W1"/>
    <mergeCell ref="A24:A26"/>
    <mergeCell ref="A10:A11"/>
    <mergeCell ref="A16:A19"/>
    <mergeCell ref="G3:K3"/>
    <mergeCell ref="L3:N3"/>
    <mergeCell ref="A4:A5"/>
    <mergeCell ref="D7:O7"/>
    <mergeCell ref="G23:K23"/>
    <mergeCell ref="L23:N23"/>
  </mergeCells>
  <pageMargins left="0.70866141732283472" right="0.70866141732283472" top="0.74803149606299213" bottom="0.74803149606299213" header="0.31496062992125984" footer="0.31496062992125984"/>
  <pageSetup paperSize="9" scale="4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43"/>
  <sheetViews>
    <sheetView topLeftCell="A25" zoomScaleNormal="100" workbookViewId="0">
      <selection activeCell="I44" sqref="I44"/>
    </sheetView>
  </sheetViews>
  <sheetFormatPr defaultRowHeight="15" x14ac:dyDescent="0.25"/>
  <cols>
    <col min="1" max="1" width="7.7109375" customWidth="1"/>
    <col min="2" max="2" width="23.28515625" customWidth="1"/>
    <col min="3" max="3" width="7" customWidth="1"/>
    <col min="4" max="4" width="14" customWidth="1"/>
    <col min="5" max="5" width="10.42578125" customWidth="1"/>
    <col min="6" max="6" width="14" customWidth="1"/>
    <col min="7" max="8" width="22.7109375" customWidth="1"/>
    <col min="9" max="9" width="17.42578125" customWidth="1"/>
  </cols>
  <sheetData>
    <row r="1" spans="1:9" ht="42" customHeight="1" x14ac:dyDescent="0.25">
      <c r="A1" s="207" t="s">
        <v>57</v>
      </c>
      <c r="B1" s="207"/>
      <c r="C1" s="207"/>
      <c r="D1" s="207"/>
      <c r="E1" s="207"/>
      <c r="F1" s="207"/>
      <c r="G1" s="207"/>
      <c r="H1" s="207"/>
      <c r="I1" s="207"/>
    </row>
    <row r="2" spans="1:9" ht="36" customHeight="1" x14ac:dyDescent="0.25">
      <c r="A2" s="6"/>
      <c r="B2" s="5"/>
      <c r="C2" s="6"/>
      <c r="D2" s="6"/>
      <c r="E2" s="6" t="s">
        <v>24</v>
      </c>
      <c r="F2" s="136" t="s">
        <v>41</v>
      </c>
      <c r="G2" s="6" t="s">
        <v>18</v>
      </c>
      <c r="H2" s="136" t="s">
        <v>18</v>
      </c>
      <c r="I2" s="6" t="s">
        <v>2</v>
      </c>
    </row>
    <row r="3" spans="1:9" ht="26.25" customHeight="1" x14ac:dyDescent="0.25">
      <c r="A3" s="6" t="s">
        <v>19</v>
      </c>
      <c r="B3" s="5" t="s">
        <v>0</v>
      </c>
      <c r="C3" s="6" t="s">
        <v>1</v>
      </c>
      <c r="D3" s="6" t="s">
        <v>39</v>
      </c>
      <c r="E3" s="6" t="s">
        <v>22</v>
      </c>
      <c r="F3" s="136" t="s">
        <v>101</v>
      </c>
      <c r="G3" s="6" t="s">
        <v>56</v>
      </c>
      <c r="H3" s="136" t="s">
        <v>98</v>
      </c>
      <c r="I3" s="6" t="s">
        <v>3</v>
      </c>
    </row>
    <row r="4" spans="1:9" ht="24.95" customHeight="1" x14ac:dyDescent="0.25">
      <c r="A4" s="202">
        <v>1</v>
      </c>
      <c r="B4" s="209" t="s">
        <v>95</v>
      </c>
      <c r="C4" s="2" t="s">
        <v>3</v>
      </c>
      <c r="D4" s="2" t="s">
        <v>5</v>
      </c>
      <c r="E4" s="6">
        <f>Грунт!Q4</f>
        <v>5</v>
      </c>
      <c r="F4" s="136"/>
      <c r="G4" s="45">
        <f>0.2*1.5*1.8*E4</f>
        <v>2.7000000000000006</v>
      </c>
      <c r="H4" s="10"/>
      <c r="I4" s="208">
        <f>SUM(G4:G5)</f>
        <v>4.8600000000000012</v>
      </c>
    </row>
    <row r="5" spans="1:9" ht="24.95" customHeight="1" x14ac:dyDescent="0.25">
      <c r="A5" s="212"/>
      <c r="B5" s="209"/>
      <c r="C5" s="2" t="s">
        <v>3</v>
      </c>
      <c r="D5" s="2" t="s">
        <v>13</v>
      </c>
      <c r="E5" s="6">
        <f>Грунт!Q5</f>
        <v>4</v>
      </c>
      <c r="F5" s="136"/>
      <c r="G5" s="45">
        <f>0.2*1.5*1.8*E5</f>
        <v>2.1600000000000006</v>
      </c>
      <c r="H5" s="10"/>
      <c r="I5" s="208"/>
    </row>
    <row r="6" spans="1:9" ht="24.95" customHeight="1" x14ac:dyDescent="0.25">
      <c r="A6" s="212"/>
      <c r="B6" s="209" t="s">
        <v>100</v>
      </c>
      <c r="C6" s="2" t="s">
        <v>3</v>
      </c>
      <c r="D6" s="2" t="s">
        <v>5</v>
      </c>
      <c r="E6" s="136"/>
      <c r="F6" s="136">
        <f>Грунт!F4</f>
        <v>0</v>
      </c>
      <c r="G6" s="10"/>
      <c r="H6" s="10">
        <f>0.1*1.7*F6</f>
        <v>0</v>
      </c>
      <c r="I6" s="208">
        <f>SUM(H6:H7)</f>
        <v>4.556</v>
      </c>
    </row>
    <row r="7" spans="1:9" ht="24.95" customHeight="1" x14ac:dyDescent="0.25">
      <c r="A7" s="203"/>
      <c r="B7" s="209"/>
      <c r="C7" s="2" t="s">
        <v>3</v>
      </c>
      <c r="D7" s="2" t="s">
        <v>13</v>
      </c>
      <c r="E7" s="136"/>
      <c r="F7" s="136">
        <f>Грунт!F5</f>
        <v>26.8</v>
      </c>
      <c r="G7" s="10"/>
      <c r="H7" s="45">
        <f>0.1*1.7*F7</f>
        <v>4.556</v>
      </c>
      <c r="I7" s="208"/>
    </row>
    <row r="8" spans="1:9" x14ac:dyDescent="0.25">
      <c r="A8" s="9"/>
      <c r="B8" s="9"/>
      <c r="C8" s="9"/>
      <c r="D8" s="9"/>
      <c r="E8" s="11"/>
      <c r="F8" s="11"/>
      <c r="G8" s="9"/>
      <c r="H8" s="9"/>
      <c r="I8" s="143">
        <f>SUM(I4:I7)</f>
        <v>9.4160000000000004</v>
      </c>
    </row>
    <row r="9" spans="1:9" ht="42" customHeight="1" x14ac:dyDescent="0.25">
      <c r="A9" s="207" t="s">
        <v>57</v>
      </c>
      <c r="B9" s="207"/>
      <c r="C9" s="207"/>
      <c r="D9" s="207"/>
      <c r="E9" s="207"/>
      <c r="F9" s="207"/>
      <c r="G9" s="207"/>
      <c r="H9" s="207"/>
      <c r="I9" s="207"/>
    </row>
    <row r="10" spans="1:9" ht="36" customHeight="1" x14ac:dyDescent="0.25">
      <c r="A10" s="6"/>
      <c r="B10" s="5"/>
      <c r="C10" s="6"/>
      <c r="D10" s="6"/>
      <c r="E10" s="6" t="s">
        <v>24</v>
      </c>
      <c r="F10" s="136" t="s">
        <v>41</v>
      </c>
      <c r="G10" s="6" t="s">
        <v>18</v>
      </c>
      <c r="H10" s="136" t="s">
        <v>18</v>
      </c>
      <c r="I10" s="6" t="s">
        <v>2</v>
      </c>
    </row>
    <row r="11" spans="1:9" ht="26.25" customHeight="1" x14ac:dyDescent="0.25">
      <c r="A11" s="6" t="s">
        <v>19</v>
      </c>
      <c r="B11" s="5" t="s">
        <v>0</v>
      </c>
      <c r="C11" s="6" t="s">
        <v>1</v>
      </c>
      <c r="D11" s="6" t="s">
        <v>39</v>
      </c>
      <c r="E11" s="6" t="s">
        <v>22</v>
      </c>
      <c r="F11" s="136" t="s">
        <v>101</v>
      </c>
      <c r="G11" s="57" t="s">
        <v>56</v>
      </c>
      <c r="H11" s="136" t="s">
        <v>98</v>
      </c>
      <c r="I11" s="6" t="s">
        <v>3</v>
      </c>
    </row>
    <row r="12" spans="1:9" ht="15" customHeight="1" x14ac:dyDescent="0.25">
      <c r="A12" s="202">
        <v>2</v>
      </c>
      <c r="B12" s="209" t="s">
        <v>95</v>
      </c>
      <c r="C12" s="2" t="s">
        <v>3</v>
      </c>
      <c r="D12" s="2" t="s">
        <v>5</v>
      </c>
      <c r="E12" s="6">
        <f>Грунт!Q10</f>
        <v>4</v>
      </c>
      <c r="F12" s="136"/>
      <c r="G12" s="10">
        <f>0.2*1.5*1.8*E12</f>
        <v>2.1600000000000006</v>
      </c>
      <c r="H12" s="10"/>
      <c r="I12" s="210">
        <f>SUM(G12:G13)</f>
        <v>5.4000000000000021</v>
      </c>
    </row>
    <row r="13" spans="1:9" x14ac:dyDescent="0.25">
      <c r="A13" s="212"/>
      <c r="B13" s="209"/>
      <c r="C13" s="2" t="s">
        <v>3</v>
      </c>
      <c r="D13" s="2" t="s">
        <v>13</v>
      </c>
      <c r="E13" s="50">
        <f>Грунт!Q11</f>
        <v>6</v>
      </c>
      <c r="F13" s="136"/>
      <c r="G13" s="10">
        <f>0.2*1.5*1.8*E13</f>
        <v>3.2400000000000011</v>
      </c>
      <c r="H13" s="10"/>
      <c r="I13" s="211"/>
    </row>
    <row r="14" spans="1:9" ht="15" customHeight="1" x14ac:dyDescent="0.25">
      <c r="A14" s="212"/>
      <c r="B14" s="209" t="s">
        <v>100</v>
      </c>
      <c r="C14" s="2" t="s">
        <v>3</v>
      </c>
      <c r="D14" s="2" t="s">
        <v>5</v>
      </c>
      <c r="E14" s="136"/>
      <c r="F14" s="136">
        <f>Грунт!F10</f>
        <v>39</v>
      </c>
      <c r="G14" s="10"/>
      <c r="H14" s="10">
        <f>0.1*1.7*F14</f>
        <v>6.6300000000000008</v>
      </c>
      <c r="I14" s="208">
        <f>SUM(H14:H15)</f>
        <v>6.6300000000000008</v>
      </c>
    </row>
    <row r="15" spans="1:9" x14ac:dyDescent="0.25">
      <c r="A15" s="203"/>
      <c r="B15" s="209"/>
      <c r="C15" s="2" t="s">
        <v>3</v>
      </c>
      <c r="D15" s="2" t="s">
        <v>13</v>
      </c>
      <c r="E15" s="136"/>
      <c r="F15" s="136">
        <f>Грунт!F11</f>
        <v>0</v>
      </c>
      <c r="G15" s="10"/>
      <c r="H15" s="45">
        <f>0.1*1.7*F15</f>
        <v>0</v>
      </c>
      <c r="I15" s="208"/>
    </row>
    <row r="16" spans="1:9" x14ac:dyDescent="0.25">
      <c r="A16" s="9"/>
      <c r="B16" s="9"/>
      <c r="C16" s="9"/>
      <c r="D16" s="9"/>
      <c r="E16" s="11"/>
      <c r="F16" s="11"/>
      <c r="G16" s="9"/>
      <c r="H16" s="9"/>
      <c r="I16" s="143">
        <f>SUM(I12:I15)</f>
        <v>12.030000000000003</v>
      </c>
    </row>
    <row r="17" spans="1:9" ht="42" customHeight="1" x14ac:dyDescent="0.25">
      <c r="A17" s="207" t="s">
        <v>57</v>
      </c>
      <c r="B17" s="207"/>
      <c r="C17" s="207"/>
      <c r="D17" s="207"/>
      <c r="E17" s="207"/>
      <c r="F17" s="207"/>
      <c r="G17" s="207"/>
      <c r="H17" s="207"/>
      <c r="I17" s="207"/>
    </row>
    <row r="18" spans="1:9" ht="36" customHeight="1" x14ac:dyDescent="0.25">
      <c r="A18" s="6"/>
      <c r="B18" s="5"/>
      <c r="C18" s="6"/>
      <c r="D18" s="6"/>
      <c r="E18" s="6" t="s">
        <v>24</v>
      </c>
      <c r="F18" s="136" t="s">
        <v>41</v>
      </c>
      <c r="G18" s="6" t="s">
        <v>18</v>
      </c>
      <c r="H18" s="136" t="s">
        <v>18</v>
      </c>
      <c r="I18" s="6" t="s">
        <v>2</v>
      </c>
    </row>
    <row r="19" spans="1:9" ht="26.25" customHeight="1" x14ac:dyDescent="0.25">
      <c r="A19" s="6" t="s">
        <v>19</v>
      </c>
      <c r="B19" s="5" t="s">
        <v>0</v>
      </c>
      <c r="C19" s="6" t="s">
        <v>1</v>
      </c>
      <c r="D19" s="6" t="s">
        <v>39</v>
      </c>
      <c r="E19" s="6" t="s">
        <v>22</v>
      </c>
      <c r="F19" s="136" t="s">
        <v>101</v>
      </c>
      <c r="G19" s="57" t="s">
        <v>56</v>
      </c>
      <c r="H19" s="136" t="s">
        <v>98</v>
      </c>
      <c r="I19" s="6" t="s">
        <v>3</v>
      </c>
    </row>
    <row r="20" spans="1:9" ht="15.75" customHeight="1" x14ac:dyDescent="0.25">
      <c r="A20" s="202">
        <v>3</v>
      </c>
      <c r="B20" s="209" t="s">
        <v>95</v>
      </c>
      <c r="C20" s="2" t="s">
        <v>3</v>
      </c>
      <c r="D20" s="2" t="s">
        <v>5</v>
      </c>
      <c r="E20" s="6">
        <f>Грунт!Q16</f>
        <v>3</v>
      </c>
      <c r="F20" s="136"/>
      <c r="G20" s="10">
        <f>0.2*1.5*1.8*E20</f>
        <v>1.6200000000000006</v>
      </c>
      <c r="H20" s="10"/>
      <c r="I20" s="208">
        <f>SUM(G20:G23)</f>
        <v>6.4800000000000022</v>
      </c>
    </row>
    <row r="21" spans="1:9" x14ac:dyDescent="0.25">
      <c r="A21" s="212"/>
      <c r="B21" s="209"/>
      <c r="C21" s="2" t="s">
        <v>3</v>
      </c>
      <c r="D21" s="2" t="s">
        <v>13</v>
      </c>
      <c r="E21" s="50">
        <f>Грунт!Q17</f>
        <v>6</v>
      </c>
      <c r="F21" s="136"/>
      <c r="G21" s="10">
        <f>0.2*1.5*1.8*E21</f>
        <v>3.2400000000000011</v>
      </c>
      <c r="H21" s="10"/>
      <c r="I21" s="208"/>
    </row>
    <row r="22" spans="1:9" x14ac:dyDescent="0.25">
      <c r="A22" s="212"/>
      <c r="B22" s="209"/>
      <c r="C22" s="2" t="s">
        <v>3</v>
      </c>
      <c r="D22" s="2" t="s">
        <v>16</v>
      </c>
      <c r="E22" s="50">
        <f>Грунт!Q18</f>
        <v>0</v>
      </c>
      <c r="F22" s="136"/>
      <c r="G22" s="10">
        <f>0.2*1.5*1.8*E22</f>
        <v>0</v>
      </c>
      <c r="H22" s="10"/>
      <c r="I22" s="208"/>
    </row>
    <row r="23" spans="1:9" x14ac:dyDescent="0.25">
      <c r="A23" s="212"/>
      <c r="B23" s="209"/>
      <c r="C23" s="2" t="s">
        <v>3</v>
      </c>
      <c r="D23" s="2" t="s">
        <v>17</v>
      </c>
      <c r="E23" s="50">
        <f>Грунт!Q19</f>
        <v>3</v>
      </c>
      <c r="F23" s="136"/>
      <c r="G23" s="10">
        <f>0.2*1.5*1.8*E23</f>
        <v>1.6200000000000006</v>
      </c>
      <c r="H23" s="10"/>
      <c r="I23" s="208"/>
    </row>
    <row r="24" spans="1:9" ht="15.75" customHeight="1" x14ac:dyDescent="0.25">
      <c r="A24" s="212"/>
      <c r="B24" s="209" t="s">
        <v>100</v>
      </c>
      <c r="C24" s="2" t="s">
        <v>3</v>
      </c>
      <c r="D24" s="2" t="s">
        <v>5</v>
      </c>
      <c r="E24" s="136"/>
      <c r="F24" s="2">
        <f>Грунт!F16</f>
        <v>29.8</v>
      </c>
      <c r="G24" s="10">
        <f>0.2*1.5*1.8*E24</f>
        <v>0</v>
      </c>
      <c r="H24" s="10">
        <f>0.1*1.7*F24</f>
        <v>5.0660000000000007</v>
      </c>
      <c r="I24" s="208">
        <f>SUM(H24:H27)</f>
        <v>11.832000000000001</v>
      </c>
    </row>
    <row r="25" spans="1:9" x14ac:dyDescent="0.25">
      <c r="A25" s="212"/>
      <c r="B25" s="209"/>
      <c r="C25" s="2" t="s">
        <v>3</v>
      </c>
      <c r="D25" s="2" t="s">
        <v>13</v>
      </c>
      <c r="E25" s="136"/>
      <c r="F25" s="2">
        <f>Грунт!F17</f>
        <v>0</v>
      </c>
      <c r="G25" s="10"/>
      <c r="H25" s="10">
        <f t="shared" ref="H25:H27" si="0">0.1*1.7*F25</f>
        <v>0</v>
      </c>
      <c r="I25" s="208"/>
    </row>
    <row r="26" spans="1:9" x14ac:dyDescent="0.25">
      <c r="A26" s="212"/>
      <c r="B26" s="209"/>
      <c r="C26" s="2" t="s">
        <v>3</v>
      </c>
      <c r="D26" s="2" t="s">
        <v>16</v>
      </c>
      <c r="E26" s="136"/>
      <c r="F26" s="2">
        <f>Грунт!F18</f>
        <v>11.7</v>
      </c>
      <c r="G26" s="10"/>
      <c r="H26" s="10">
        <f t="shared" si="0"/>
        <v>1.9890000000000001</v>
      </c>
      <c r="I26" s="208"/>
    </row>
    <row r="27" spans="1:9" x14ac:dyDescent="0.25">
      <c r="A27" s="203"/>
      <c r="B27" s="209"/>
      <c r="C27" s="2" t="s">
        <v>3</v>
      </c>
      <c r="D27" s="2" t="s">
        <v>17</v>
      </c>
      <c r="E27" s="136"/>
      <c r="F27" s="2">
        <f>Грунт!F19</f>
        <v>28.1</v>
      </c>
      <c r="G27" s="10"/>
      <c r="H27" s="10">
        <f t="shared" si="0"/>
        <v>4.777000000000001</v>
      </c>
      <c r="I27" s="208"/>
    </row>
    <row r="28" spans="1:9" x14ac:dyDescent="0.25">
      <c r="A28" s="9"/>
      <c r="B28" s="9"/>
      <c r="C28" s="9"/>
      <c r="D28" s="9"/>
      <c r="E28" s="11"/>
      <c r="F28" s="11"/>
      <c r="G28" s="9"/>
      <c r="H28" s="9"/>
      <c r="I28" s="143">
        <f>SUM(I20:I27)</f>
        <v>18.312000000000005</v>
      </c>
    </row>
    <row r="29" spans="1:9" ht="42" customHeight="1" x14ac:dyDescent="0.25">
      <c r="A29" s="207" t="s">
        <v>57</v>
      </c>
      <c r="B29" s="207"/>
      <c r="C29" s="207"/>
      <c r="D29" s="207"/>
      <c r="E29" s="207"/>
      <c r="F29" s="207"/>
      <c r="G29" s="207"/>
      <c r="H29" s="207"/>
      <c r="I29" s="207"/>
    </row>
    <row r="30" spans="1:9" ht="36" customHeight="1" x14ac:dyDescent="0.25">
      <c r="A30" s="6"/>
      <c r="B30" s="5"/>
      <c r="C30" s="6"/>
      <c r="D30" s="6"/>
      <c r="E30" s="6" t="s">
        <v>24</v>
      </c>
      <c r="F30" s="136" t="s">
        <v>41</v>
      </c>
      <c r="G30" s="6" t="s">
        <v>18</v>
      </c>
      <c r="H30" s="136" t="s">
        <v>18</v>
      </c>
      <c r="I30" s="6" t="s">
        <v>2</v>
      </c>
    </row>
    <row r="31" spans="1:9" ht="26.25" customHeight="1" x14ac:dyDescent="0.25">
      <c r="A31" s="6" t="s">
        <v>19</v>
      </c>
      <c r="B31" s="5" t="s">
        <v>0</v>
      </c>
      <c r="C31" s="6" t="s">
        <v>1</v>
      </c>
      <c r="D31" s="6" t="s">
        <v>39</v>
      </c>
      <c r="E31" s="6" t="s">
        <v>22</v>
      </c>
      <c r="F31" s="136" t="s">
        <v>101</v>
      </c>
      <c r="G31" s="57" t="s">
        <v>56</v>
      </c>
      <c r="H31" s="136" t="s">
        <v>98</v>
      </c>
      <c r="I31" s="6" t="s">
        <v>3</v>
      </c>
    </row>
    <row r="32" spans="1:9" ht="15.75" customHeight="1" x14ac:dyDescent="0.25">
      <c r="A32" s="202">
        <v>4</v>
      </c>
      <c r="B32" s="209" t="s">
        <v>95</v>
      </c>
      <c r="C32" s="2" t="s">
        <v>3</v>
      </c>
      <c r="D32" s="2" t="s">
        <v>5</v>
      </c>
      <c r="E32" s="6">
        <f>Грунт!Q24</f>
        <v>13</v>
      </c>
      <c r="F32" s="136"/>
      <c r="G32" s="10">
        <f>0.2*1.5*1.8*E32</f>
        <v>7.0200000000000022</v>
      </c>
      <c r="H32" s="10"/>
      <c r="I32" s="208">
        <f>SUM(G32:G34)</f>
        <v>15.660000000000004</v>
      </c>
    </row>
    <row r="33" spans="1:9" x14ac:dyDescent="0.25">
      <c r="A33" s="212"/>
      <c r="B33" s="209"/>
      <c r="C33" s="2" t="s">
        <v>3</v>
      </c>
      <c r="D33" s="2" t="s">
        <v>13</v>
      </c>
      <c r="E33" s="50">
        <f>Грунт!Q25</f>
        <v>3</v>
      </c>
      <c r="F33" s="136"/>
      <c r="G33" s="10">
        <f>0.2*1.5*1.8*E33</f>
        <v>1.6200000000000006</v>
      </c>
      <c r="H33" s="10"/>
      <c r="I33" s="208"/>
    </row>
    <row r="34" spans="1:9" x14ac:dyDescent="0.25">
      <c r="A34" s="212"/>
      <c r="B34" s="209"/>
      <c r="C34" s="2" t="s">
        <v>3</v>
      </c>
      <c r="D34" s="2" t="s">
        <v>16</v>
      </c>
      <c r="E34" s="50">
        <f>Грунт!Q26</f>
        <v>13</v>
      </c>
      <c r="F34" s="136"/>
      <c r="G34" s="10">
        <f>0.2*1.5*1.8*E34</f>
        <v>7.0200000000000022</v>
      </c>
      <c r="H34" s="10"/>
      <c r="I34" s="208"/>
    </row>
    <row r="35" spans="1:9" ht="15.75" customHeight="1" x14ac:dyDescent="0.25">
      <c r="A35" s="212"/>
      <c r="B35" s="209" t="s">
        <v>100</v>
      </c>
      <c r="C35" s="2" t="s">
        <v>3</v>
      </c>
      <c r="D35" s="2" t="s">
        <v>5</v>
      </c>
      <c r="E35" s="136"/>
      <c r="F35" s="136">
        <f>Грунт!F24</f>
        <v>31.7</v>
      </c>
      <c r="G35" s="10"/>
      <c r="H35" s="10">
        <f>0.1*1.7*F35</f>
        <v>5.3890000000000002</v>
      </c>
      <c r="I35" s="208">
        <f>SUM(H35:H37)</f>
        <v>8.6700000000000017</v>
      </c>
    </row>
    <row r="36" spans="1:9" x14ac:dyDescent="0.25">
      <c r="A36" s="212"/>
      <c r="B36" s="209"/>
      <c r="C36" s="2" t="s">
        <v>3</v>
      </c>
      <c r="D36" s="2" t="s">
        <v>13</v>
      </c>
      <c r="E36" s="136"/>
      <c r="F36" s="136">
        <f>Грунт!F25</f>
        <v>9.8000000000000007</v>
      </c>
      <c r="G36" s="10"/>
      <c r="H36" s="10">
        <f t="shared" ref="H36:H37" si="1">0.1*1.7*F36</f>
        <v>1.6660000000000001</v>
      </c>
      <c r="I36" s="208"/>
    </row>
    <row r="37" spans="1:9" x14ac:dyDescent="0.25">
      <c r="A37" s="203"/>
      <c r="B37" s="209"/>
      <c r="C37" s="2" t="s">
        <v>3</v>
      </c>
      <c r="D37" s="2" t="s">
        <v>16</v>
      </c>
      <c r="E37" s="136"/>
      <c r="F37" s="136">
        <f>Грунт!F26</f>
        <v>9.5</v>
      </c>
      <c r="G37" s="10"/>
      <c r="H37" s="10">
        <f t="shared" si="1"/>
        <v>1.6150000000000002</v>
      </c>
      <c r="I37" s="208"/>
    </row>
    <row r="38" spans="1:9" x14ac:dyDescent="0.25">
      <c r="A38" s="9"/>
      <c r="B38" s="9"/>
      <c r="C38" s="9"/>
      <c r="D38" s="9"/>
      <c r="E38" s="11"/>
      <c r="F38" s="11"/>
      <c r="G38" s="9"/>
      <c r="H38" s="9"/>
      <c r="I38" s="143">
        <f>SUM(I32:I37)</f>
        <v>24.330000000000005</v>
      </c>
    </row>
    <row r="39" spans="1:9" ht="15.75" thickBot="1" x14ac:dyDescent="0.3"/>
    <row r="40" spans="1:9" ht="15.75" thickBot="1" x14ac:dyDescent="0.3">
      <c r="E40" s="12">
        <f>SUM(E4:E34)</f>
        <v>60</v>
      </c>
      <c r="F40" s="12">
        <f>SUM(F4:F38)</f>
        <v>186.4</v>
      </c>
      <c r="I40" s="8">
        <f>I38+I28+I16+I8</f>
        <v>64.088000000000008</v>
      </c>
    </row>
    <row r="43" spans="1:9" x14ac:dyDescent="0.25">
      <c r="I43" s="185">
        <f>I40-31.69</f>
        <v>32.39800000000001</v>
      </c>
    </row>
  </sheetData>
  <mergeCells count="24">
    <mergeCell ref="B24:B27"/>
    <mergeCell ref="I24:I27"/>
    <mergeCell ref="B35:B37"/>
    <mergeCell ref="I35:I37"/>
    <mergeCell ref="A20:A27"/>
    <mergeCell ref="A32:A37"/>
    <mergeCell ref="I32:I34"/>
    <mergeCell ref="B32:B34"/>
    <mergeCell ref="A29:I29"/>
    <mergeCell ref="A1:I1"/>
    <mergeCell ref="I4:I5"/>
    <mergeCell ref="B4:B5"/>
    <mergeCell ref="B20:B23"/>
    <mergeCell ref="I12:I13"/>
    <mergeCell ref="I20:I23"/>
    <mergeCell ref="A9:I9"/>
    <mergeCell ref="A17:I17"/>
    <mergeCell ref="B6:B7"/>
    <mergeCell ref="I6:I7"/>
    <mergeCell ref="A4:A7"/>
    <mergeCell ref="B14:B15"/>
    <mergeCell ref="I14:I15"/>
    <mergeCell ref="A12:A15"/>
    <mergeCell ref="B12:B13"/>
  </mergeCells>
  <pageMargins left="0.70866141732283472" right="0.70866141732283472" top="0.74803149606299213" bottom="0.74803149606299213" header="0.31496062992125984" footer="0.31496062992125984"/>
  <pageSetup paperSize="9"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40"/>
  <sheetViews>
    <sheetView topLeftCell="A19" zoomScaleNormal="100" workbookViewId="0">
      <selection activeCell="F31" sqref="F31"/>
    </sheetView>
  </sheetViews>
  <sheetFormatPr defaultRowHeight="15" x14ac:dyDescent="0.25"/>
  <cols>
    <col min="1" max="1" width="7.7109375" customWidth="1"/>
    <col min="2" max="2" width="23.28515625" customWidth="1"/>
    <col min="3" max="3" width="7" customWidth="1"/>
    <col min="4" max="4" width="14" customWidth="1"/>
    <col min="5" max="6" width="10.42578125" customWidth="1"/>
    <col min="7" max="7" width="20.42578125" customWidth="1"/>
    <col min="8" max="8" width="21.42578125" customWidth="1"/>
    <col min="9" max="9" width="17.42578125" customWidth="1"/>
  </cols>
  <sheetData>
    <row r="1" spans="1:9" x14ac:dyDescent="0.25">
      <c r="A1" s="207" t="s">
        <v>133</v>
      </c>
      <c r="B1" s="207"/>
      <c r="C1" s="207"/>
      <c r="D1" s="207"/>
      <c r="E1" s="207"/>
      <c r="F1" s="207"/>
      <c r="G1" s="207"/>
      <c r="H1" s="207"/>
      <c r="I1" s="207"/>
    </row>
    <row r="2" spans="1:9" ht="38.25" x14ac:dyDescent="0.25">
      <c r="A2" s="38"/>
      <c r="B2" s="5"/>
      <c r="C2" s="38"/>
      <c r="D2" s="38"/>
      <c r="E2" s="38" t="s">
        <v>24</v>
      </c>
      <c r="F2" s="136" t="s">
        <v>41</v>
      </c>
      <c r="G2" s="38" t="s">
        <v>18</v>
      </c>
      <c r="H2" s="136" t="s">
        <v>18</v>
      </c>
      <c r="I2" s="38" t="s">
        <v>2</v>
      </c>
    </row>
    <row r="3" spans="1:9" ht="38.25" x14ac:dyDescent="0.25">
      <c r="A3" s="38" t="s">
        <v>19</v>
      </c>
      <c r="B3" s="5" t="s">
        <v>0</v>
      </c>
      <c r="C3" s="38" t="s">
        <v>1</v>
      </c>
      <c r="D3" s="38" t="s">
        <v>39</v>
      </c>
      <c r="E3" s="38" t="s">
        <v>22</v>
      </c>
      <c r="F3" s="136" t="s">
        <v>101</v>
      </c>
      <c r="G3" s="38" t="s">
        <v>23</v>
      </c>
      <c r="H3" s="136" t="s">
        <v>102</v>
      </c>
      <c r="I3" s="38"/>
    </row>
    <row r="4" spans="1:9" ht="15" customHeight="1" x14ac:dyDescent="0.25">
      <c r="A4" s="202">
        <v>1</v>
      </c>
      <c r="B4" s="209" t="s">
        <v>103</v>
      </c>
      <c r="C4" s="2" t="s">
        <v>3</v>
      </c>
      <c r="D4" s="2" t="s">
        <v>5</v>
      </c>
      <c r="E4" s="50">
        <f>Грунт!Q4</f>
        <v>5</v>
      </c>
      <c r="F4" s="136"/>
      <c r="G4" s="10">
        <f>0.1*1.3*1.6*E4</f>
        <v>1.04</v>
      </c>
      <c r="H4" s="10"/>
      <c r="I4" s="208">
        <f>SUM(G4:H5)</f>
        <v>1.8720000000000001</v>
      </c>
    </row>
    <row r="5" spans="1:9" ht="15" customHeight="1" x14ac:dyDescent="0.25">
      <c r="A5" s="212"/>
      <c r="B5" s="209"/>
      <c r="C5" s="2" t="s">
        <v>3</v>
      </c>
      <c r="D5" s="2" t="s">
        <v>13</v>
      </c>
      <c r="E5" s="50">
        <f>Грунт!Q5</f>
        <v>4</v>
      </c>
      <c r="F5" s="136"/>
      <c r="G5" s="10">
        <f>0.1*1.3*1.6*E5</f>
        <v>0.83200000000000007</v>
      </c>
      <c r="H5" s="10"/>
      <c r="I5" s="208"/>
    </row>
    <row r="6" spans="1:9" ht="15" customHeight="1" x14ac:dyDescent="0.25">
      <c r="A6" s="212"/>
      <c r="B6" s="209" t="s">
        <v>104</v>
      </c>
      <c r="C6" s="2" t="s">
        <v>3</v>
      </c>
      <c r="D6" s="2" t="s">
        <v>5</v>
      </c>
      <c r="E6" s="136"/>
      <c r="F6" s="136"/>
      <c r="G6" s="10"/>
      <c r="H6" s="10">
        <f>0.3*1.7*F6</f>
        <v>0</v>
      </c>
      <c r="I6" s="208">
        <f>SUM(G6:H7)</f>
        <v>13.668000000000001</v>
      </c>
    </row>
    <row r="7" spans="1:9" ht="15" customHeight="1" x14ac:dyDescent="0.25">
      <c r="A7" s="203"/>
      <c r="B7" s="209"/>
      <c r="C7" s="2" t="s">
        <v>3</v>
      </c>
      <c r="D7" s="2" t="s">
        <v>13</v>
      </c>
      <c r="E7" s="136"/>
      <c r="F7" s="177">
        <f>Грунт!F6</f>
        <v>26.8</v>
      </c>
      <c r="G7" s="10"/>
      <c r="H7" s="10">
        <f>0.3*1.7*F7</f>
        <v>13.668000000000001</v>
      </c>
      <c r="I7" s="208"/>
    </row>
    <row r="8" spans="1:9" ht="15" customHeight="1" x14ac:dyDescent="0.25">
      <c r="A8" s="144"/>
      <c r="B8" s="145"/>
      <c r="C8" s="146"/>
      <c r="D8" s="146"/>
      <c r="E8" s="147"/>
      <c r="F8" s="147"/>
      <c r="G8" s="134">
        <f t="shared" ref="G8:H8" si="0">SUM(G4:G7)</f>
        <v>1.8720000000000001</v>
      </c>
      <c r="H8" s="134">
        <f t="shared" si="0"/>
        <v>13.668000000000001</v>
      </c>
      <c r="I8" s="134">
        <f>SUM(I4:I7)</f>
        <v>15.540000000000001</v>
      </c>
    </row>
    <row r="9" spans="1:9" x14ac:dyDescent="0.25">
      <c r="A9" s="207" t="s">
        <v>59</v>
      </c>
      <c r="B9" s="207"/>
      <c r="C9" s="207"/>
      <c r="D9" s="207"/>
      <c r="E9" s="207"/>
      <c r="F9" s="207"/>
      <c r="G9" s="207"/>
      <c r="H9" s="207"/>
      <c r="I9" s="207"/>
    </row>
    <row r="10" spans="1:9" ht="38.25" x14ac:dyDescent="0.25">
      <c r="A10" s="38"/>
      <c r="B10" s="5"/>
      <c r="C10" s="38"/>
      <c r="D10" s="38"/>
      <c r="E10" s="38" t="s">
        <v>24</v>
      </c>
      <c r="F10" s="136" t="s">
        <v>41</v>
      </c>
      <c r="G10" s="38" t="s">
        <v>18</v>
      </c>
      <c r="H10" s="136" t="s">
        <v>18</v>
      </c>
      <c r="I10" s="38" t="s">
        <v>2</v>
      </c>
    </row>
    <row r="11" spans="1:9" ht="38.25" x14ac:dyDescent="0.25">
      <c r="A11" s="38" t="s">
        <v>19</v>
      </c>
      <c r="B11" s="5" t="s">
        <v>0</v>
      </c>
      <c r="C11" s="38" t="s">
        <v>1</v>
      </c>
      <c r="D11" s="38" t="s">
        <v>39</v>
      </c>
      <c r="E11" s="38" t="s">
        <v>22</v>
      </c>
      <c r="F11" s="136" t="s">
        <v>101</v>
      </c>
      <c r="G11" s="38" t="s">
        <v>23</v>
      </c>
      <c r="H11" s="136" t="s">
        <v>102</v>
      </c>
      <c r="I11" s="38"/>
    </row>
    <row r="12" spans="1:9" ht="15" customHeight="1" x14ac:dyDescent="0.25">
      <c r="A12" s="202">
        <v>2</v>
      </c>
      <c r="B12" s="213" t="s">
        <v>103</v>
      </c>
      <c r="C12" s="2" t="s">
        <v>3</v>
      </c>
      <c r="D12" s="2" t="s">
        <v>5</v>
      </c>
      <c r="E12" s="50">
        <f>Грунт!Q10</f>
        <v>4</v>
      </c>
      <c r="F12" s="136"/>
      <c r="G12" s="10">
        <f>0.1*1.3*1.6*E12</f>
        <v>0.83200000000000007</v>
      </c>
      <c r="H12" s="10"/>
      <c r="I12" s="208">
        <f>SUM(G12:G13)</f>
        <v>2.08</v>
      </c>
    </row>
    <row r="13" spans="1:9" ht="15.75" customHeight="1" x14ac:dyDescent="0.25">
      <c r="A13" s="212"/>
      <c r="B13" s="215"/>
      <c r="C13" s="2" t="s">
        <v>3</v>
      </c>
      <c r="D13" s="2" t="s">
        <v>13</v>
      </c>
      <c r="E13" s="50">
        <f>Грунт!Q11</f>
        <v>6</v>
      </c>
      <c r="F13" s="136"/>
      <c r="G13" s="10">
        <f>0.1*1.3*1.6*E13</f>
        <v>1.2480000000000002</v>
      </c>
      <c r="H13" s="10"/>
      <c r="I13" s="208"/>
    </row>
    <row r="14" spans="1:9" ht="15" customHeight="1" x14ac:dyDescent="0.25">
      <c r="A14" s="212"/>
      <c r="B14" s="213" t="s">
        <v>104</v>
      </c>
      <c r="C14" s="2" t="s">
        <v>3</v>
      </c>
      <c r="D14" s="2" t="s">
        <v>5</v>
      </c>
      <c r="E14" s="136"/>
      <c r="F14" s="136">
        <f>Грунт!F12</f>
        <v>39</v>
      </c>
      <c r="G14" s="10"/>
      <c r="H14" s="10">
        <f>0.3*1.7*F14</f>
        <v>19.89</v>
      </c>
      <c r="I14" s="208">
        <f>SUM(G14:H15)</f>
        <v>19.89</v>
      </c>
    </row>
    <row r="15" spans="1:9" ht="15.75" customHeight="1" x14ac:dyDescent="0.25">
      <c r="A15" s="203"/>
      <c r="B15" s="215"/>
      <c r="C15" s="2" t="s">
        <v>3</v>
      </c>
      <c r="D15" s="2" t="s">
        <v>13</v>
      </c>
      <c r="E15" s="136"/>
      <c r="F15" s="136">
        <f>Грунт!F13</f>
        <v>0</v>
      </c>
      <c r="G15" s="10"/>
      <c r="H15" s="10">
        <f>0.3*1.7*F15</f>
        <v>0</v>
      </c>
      <c r="I15" s="208"/>
    </row>
    <row r="16" spans="1:9" ht="15.75" customHeight="1" x14ac:dyDescent="0.25">
      <c r="A16" s="144"/>
      <c r="B16" s="145"/>
      <c r="C16" s="146"/>
      <c r="D16" s="146"/>
      <c r="E16" s="147"/>
      <c r="F16" s="147"/>
      <c r="G16" s="134">
        <f t="shared" ref="G16:H16" si="1">SUM(G12:G15)</f>
        <v>2.08</v>
      </c>
      <c r="H16" s="134">
        <f t="shared" si="1"/>
        <v>19.89</v>
      </c>
      <c r="I16" s="134">
        <f>SUM(I12:I15)</f>
        <v>21.97</v>
      </c>
    </row>
    <row r="17" spans="1:9" x14ac:dyDescent="0.25">
      <c r="A17" s="207" t="s">
        <v>59</v>
      </c>
      <c r="B17" s="207"/>
      <c r="C17" s="207"/>
      <c r="D17" s="207"/>
      <c r="E17" s="207"/>
      <c r="F17" s="207"/>
      <c r="G17" s="207"/>
      <c r="H17" s="207"/>
      <c r="I17" s="207"/>
    </row>
    <row r="18" spans="1:9" ht="38.25" x14ac:dyDescent="0.25">
      <c r="A18" s="38"/>
      <c r="B18" s="5"/>
      <c r="C18" s="38"/>
      <c r="D18" s="38"/>
      <c r="E18" s="38" t="s">
        <v>24</v>
      </c>
      <c r="F18" s="136" t="s">
        <v>41</v>
      </c>
      <c r="G18" s="38" t="s">
        <v>18</v>
      </c>
      <c r="H18" s="136" t="s">
        <v>18</v>
      </c>
      <c r="I18" s="38" t="s">
        <v>2</v>
      </c>
    </row>
    <row r="19" spans="1:9" ht="38.25" x14ac:dyDescent="0.25">
      <c r="A19" s="38" t="s">
        <v>19</v>
      </c>
      <c r="B19" s="5" t="s">
        <v>0</v>
      </c>
      <c r="C19" s="38" t="s">
        <v>1</v>
      </c>
      <c r="D19" s="38" t="s">
        <v>39</v>
      </c>
      <c r="E19" s="38" t="s">
        <v>22</v>
      </c>
      <c r="F19" s="136" t="s">
        <v>101</v>
      </c>
      <c r="G19" s="38" t="s">
        <v>23</v>
      </c>
      <c r="H19" s="136" t="s">
        <v>102</v>
      </c>
      <c r="I19" s="38"/>
    </row>
    <row r="20" spans="1:9" x14ac:dyDescent="0.25">
      <c r="A20" s="202">
        <v>3</v>
      </c>
      <c r="B20" s="213" t="s">
        <v>103</v>
      </c>
      <c r="C20" s="2" t="s">
        <v>3</v>
      </c>
      <c r="D20" s="2" t="s">
        <v>5</v>
      </c>
      <c r="E20" s="6">
        <f>Грунт!Q16</f>
        <v>3</v>
      </c>
      <c r="F20" s="136"/>
      <c r="G20" s="10">
        <f>0.1*1.3*1.6*E20</f>
        <v>0.62400000000000011</v>
      </c>
      <c r="H20" s="10"/>
      <c r="I20" s="208">
        <f>SUM(G20:G23)</f>
        <v>3.1440000000000006</v>
      </c>
    </row>
    <row r="21" spans="1:9" x14ac:dyDescent="0.25">
      <c r="A21" s="212"/>
      <c r="B21" s="214"/>
      <c r="C21" s="2" t="s">
        <v>3</v>
      </c>
      <c r="D21" s="2" t="s">
        <v>13</v>
      </c>
      <c r="E21" s="50">
        <f>Грунт!Q17</f>
        <v>6</v>
      </c>
      <c r="F21" s="136"/>
      <c r="G21" s="10">
        <f t="shared" ref="G21:G34" si="2">0.1*1.3*1.6*E21</f>
        <v>1.2480000000000002</v>
      </c>
      <c r="H21" s="10"/>
      <c r="I21" s="208"/>
    </row>
    <row r="22" spans="1:9" ht="15.75" customHeight="1" x14ac:dyDescent="0.25">
      <c r="A22" s="212"/>
      <c r="B22" s="214"/>
      <c r="C22" s="2" t="s">
        <v>3</v>
      </c>
      <c r="D22" s="2" t="s">
        <v>16</v>
      </c>
      <c r="E22" s="50">
        <f>Грунт!Q18</f>
        <v>0</v>
      </c>
      <c r="F22" s="136"/>
      <c r="G22" s="10">
        <f t="shared" si="2"/>
        <v>0</v>
      </c>
      <c r="H22" s="10"/>
      <c r="I22" s="208"/>
    </row>
    <row r="23" spans="1:9" x14ac:dyDescent="0.25">
      <c r="A23" s="212"/>
      <c r="B23" s="215"/>
      <c r="C23" s="2" t="s">
        <v>3</v>
      </c>
      <c r="D23" s="2" t="s">
        <v>17</v>
      </c>
      <c r="E23" s="50">
        <f>Грунт!Q19</f>
        <v>3</v>
      </c>
      <c r="F23" s="136"/>
      <c r="G23" s="10">
        <f>0.1*1.6*2.65*E23</f>
        <v>1.2720000000000002</v>
      </c>
      <c r="H23" s="10"/>
      <c r="I23" s="208"/>
    </row>
    <row r="24" spans="1:9" x14ac:dyDescent="0.25">
      <c r="A24" s="212"/>
      <c r="B24" s="209" t="s">
        <v>104</v>
      </c>
      <c r="C24" s="2" t="s">
        <v>3</v>
      </c>
      <c r="D24" s="2" t="s">
        <v>5</v>
      </c>
      <c r="E24" s="136"/>
      <c r="F24" s="136">
        <f>Грунт!F16</f>
        <v>29.8</v>
      </c>
      <c r="G24" s="10"/>
      <c r="H24" s="10">
        <f>0.3*1.7*F24</f>
        <v>15.198</v>
      </c>
      <c r="I24" s="208">
        <f>SUM(H24:H27)</f>
        <v>35.496000000000002</v>
      </c>
    </row>
    <row r="25" spans="1:9" x14ac:dyDescent="0.25">
      <c r="A25" s="212"/>
      <c r="B25" s="209"/>
      <c r="C25" s="2" t="s">
        <v>3</v>
      </c>
      <c r="D25" s="2" t="s">
        <v>13</v>
      </c>
      <c r="E25" s="136"/>
      <c r="F25" s="136">
        <f>Грунт!F17</f>
        <v>0</v>
      </c>
      <c r="G25" s="10"/>
      <c r="H25" s="10">
        <f>0.3*1.7*F25</f>
        <v>0</v>
      </c>
      <c r="I25" s="208"/>
    </row>
    <row r="26" spans="1:9" ht="15.75" customHeight="1" x14ac:dyDescent="0.25">
      <c r="A26" s="212"/>
      <c r="B26" s="209"/>
      <c r="C26" s="2" t="s">
        <v>3</v>
      </c>
      <c r="D26" s="2" t="s">
        <v>16</v>
      </c>
      <c r="E26" s="136"/>
      <c r="F26" s="136">
        <f>Грунт!F18</f>
        <v>11.7</v>
      </c>
      <c r="G26" s="10"/>
      <c r="H26" s="10">
        <f t="shared" ref="H26:H27" si="3">0.3*1.7*F26</f>
        <v>5.9669999999999996</v>
      </c>
      <c r="I26" s="208"/>
    </row>
    <row r="27" spans="1:9" x14ac:dyDescent="0.25">
      <c r="A27" s="203"/>
      <c r="B27" s="209"/>
      <c r="C27" s="2" t="s">
        <v>3</v>
      </c>
      <c r="D27" s="2" t="s">
        <v>17</v>
      </c>
      <c r="E27" s="136"/>
      <c r="F27" s="136">
        <f>Грунт!F19</f>
        <v>28.1</v>
      </c>
      <c r="G27" s="10"/>
      <c r="H27" s="10">
        <f t="shared" si="3"/>
        <v>14.331000000000001</v>
      </c>
      <c r="I27" s="208"/>
    </row>
    <row r="28" spans="1:9" x14ac:dyDescent="0.25">
      <c r="A28" s="144"/>
      <c r="B28" s="145"/>
      <c r="C28" s="146"/>
      <c r="D28" s="146"/>
      <c r="E28" s="147"/>
      <c r="F28" s="147"/>
      <c r="G28" s="134">
        <f t="shared" ref="G28:H28" si="4">SUM(G20:G27)</f>
        <v>3.1440000000000006</v>
      </c>
      <c r="H28" s="134">
        <f t="shared" si="4"/>
        <v>35.496000000000002</v>
      </c>
      <c r="I28" s="134">
        <f>SUM(I20:I27)</f>
        <v>38.64</v>
      </c>
    </row>
    <row r="29" spans="1:9" x14ac:dyDescent="0.25">
      <c r="A29" s="207" t="s">
        <v>134</v>
      </c>
      <c r="B29" s="207"/>
      <c r="C29" s="207"/>
      <c r="D29" s="207"/>
      <c r="E29" s="207"/>
      <c r="F29" s="207"/>
      <c r="G29" s="207"/>
      <c r="H29" s="207"/>
      <c r="I29" s="207"/>
    </row>
    <row r="30" spans="1:9" ht="38.25" x14ac:dyDescent="0.25">
      <c r="A30" s="38"/>
      <c r="B30" s="5"/>
      <c r="C30" s="38"/>
      <c r="D30" s="38"/>
      <c r="E30" s="38" t="s">
        <v>24</v>
      </c>
      <c r="F30" s="136" t="s">
        <v>41</v>
      </c>
      <c r="G30" s="38" t="s">
        <v>18</v>
      </c>
      <c r="H30" s="136" t="s">
        <v>18</v>
      </c>
      <c r="I30" s="38" t="s">
        <v>2</v>
      </c>
    </row>
    <row r="31" spans="1:9" ht="38.25" x14ac:dyDescent="0.25">
      <c r="A31" s="38" t="s">
        <v>19</v>
      </c>
      <c r="B31" s="5" t="s">
        <v>0</v>
      </c>
      <c r="C31" s="38" t="s">
        <v>1</v>
      </c>
      <c r="D31" s="38" t="s">
        <v>39</v>
      </c>
      <c r="E31" s="38" t="s">
        <v>22</v>
      </c>
      <c r="F31" s="136" t="s">
        <v>101</v>
      </c>
      <c r="G31" s="38" t="s">
        <v>23</v>
      </c>
      <c r="H31" s="136" t="s">
        <v>102</v>
      </c>
      <c r="I31" s="38"/>
    </row>
    <row r="32" spans="1:9" x14ac:dyDescent="0.25">
      <c r="A32" s="202">
        <v>4</v>
      </c>
      <c r="B32" s="209" t="s">
        <v>103</v>
      </c>
      <c r="C32" s="2" t="s">
        <v>3</v>
      </c>
      <c r="D32" s="2" t="s">
        <v>5</v>
      </c>
      <c r="E32" s="6">
        <f>Грунт!Q24</f>
        <v>13</v>
      </c>
      <c r="F32" s="136"/>
      <c r="G32" s="10">
        <f t="shared" si="2"/>
        <v>2.7040000000000002</v>
      </c>
      <c r="H32" s="10"/>
      <c r="I32" s="208">
        <f>SUM(G32:G34)</f>
        <v>6.032</v>
      </c>
    </row>
    <row r="33" spans="1:9" x14ac:dyDescent="0.25">
      <c r="A33" s="212"/>
      <c r="B33" s="209"/>
      <c r="C33" s="2" t="s">
        <v>3</v>
      </c>
      <c r="D33" s="2" t="s">
        <v>13</v>
      </c>
      <c r="E33" s="50">
        <f>Грунт!Q25</f>
        <v>3</v>
      </c>
      <c r="F33" s="136"/>
      <c r="G33" s="10">
        <f t="shared" si="2"/>
        <v>0.62400000000000011</v>
      </c>
      <c r="H33" s="10"/>
      <c r="I33" s="208"/>
    </row>
    <row r="34" spans="1:9" x14ac:dyDescent="0.25">
      <c r="A34" s="212"/>
      <c r="B34" s="209"/>
      <c r="C34" s="2" t="s">
        <v>3</v>
      </c>
      <c r="D34" s="2" t="s">
        <v>16</v>
      </c>
      <c r="E34" s="50">
        <f>Грунт!Q26</f>
        <v>13</v>
      </c>
      <c r="F34" s="136"/>
      <c r="G34" s="10">
        <f t="shared" si="2"/>
        <v>2.7040000000000002</v>
      </c>
      <c r="H34" s="10"/>
      <c r="I34" s="208"/>
    </row>
    <row r="35" spans="1:9" x14ac:dyDescent="0.25">
      <c r="A35" s="212"/>
      <c r="B35" s="209" t="s">
        <v>104</v>
      </c>
      <c r="C35" s="2" t="s">
        <v>3</v>
      </c>
      <c r="D35" s="2" t="s">
        <v>5</v>
      </c>
      <c r="E35" s="136"/>
      <c r="F35" s="136">
        <f>Грунт!F24</f>
        <v>31.7</v>
      </c>
      <c r="G35" s="10"/>
      <c r="H35" s="10">
        <f>0.3*1.7*F35</f>
        <v>16.167000000000002</v>
      </c>
      <c r="I35" s="208">
        <f>SUM(H35:H37)</f>
        <v>26.01</v>
      </c>
    </row>
    <row r="36" spans="1:9" x14ac:dyDescent="0.25">
      <c r="A36" s="212"/>
      <c r="B36" s="209"/>
      <c r="C36" s="2" t="s">
        <v>3</v>
      </c>
      <c r="D36" s="2" t="s">
        <v>13</v>
      </c>
      <c r="E36" s="136"/>
      <c r="F36" s="136">
        <f>Грунт!F25</f>
        <v>9.8000000000000007</v>
      </c>
      <c r="G36" s="10"/>
      <c r="H36" s="10">
        <f>0.3*1.7*F36</f>
        <v>4.9980000000000002</v>
      </c>
      <c r="I36" s="208"/>
    </row>
    <row r="37" spans="1:9" x14ac:dyDescent="0.25">
      <c r="A37" s="203"/>
      <c r="B37" s="209"/>
      <c r="C37" s="2" t="s">
        <v>3</v>
      </c>
      <c r="D37" s="2" t="s">
        <v>16</v>
      </c>
      <c r="E37" s="136"/>
      <c r="F37" s="136">
        <f>Грунт!F26</f>
        <v>9.5</v>
      </c>
      <c r="G37" s="10"/>
      <c r="H37" s="10">
        <f t="shared" ref="H37" si="5">0.3*1.7*F37</f>
        <v>4.8449999999999998</v>
      </c>
      <c r="I37" s="208"/>
    </row>
    <row r="38" spans="1:9" x14ac:dyDescent="0.25">
      <c r="E38" s="1"/>
      <c r="F38" s="1"/>
      <c r="G38" s="143">
        <f t="shared" ref="G38:H38" si="6">SUM(G32:G37)</f>
        <v>6.032</v>
      </c>
      <c r="H38" s="143">
        <f t="shared" si="6"/>
        <v>26.01</v>
      </c>
      <c r="I38" s="143">
        <f>SUM(I32:I37)</f>
        <v>32.042000000000002</v>
      </c>
    </row>
    <row r="39" spans="1:9" ht="15.75" thickBot="1" x14ac:dyDescent="0.3">
      <c r="E39" s="1"/>
      <c r="F39" s="1"/>
      <c r="G39" s="1"/>
      <c r="H39" s="1"/>
      <c r="I39" s="151"/>
    </row>
    <row r="40" spans="1:9" ht="15.75" thickBot="1" x14ac:dyDescent="0.3">
      <c r="E40" s="152">
        <f>SUM(E4:E34)</f>
        <v>60</v>
      </c>
      <c r="F40" s="152">
        <f>SUM(F4:F37)</f>
        <v>186.4</v>
      </c>
      <c r="G40" s="153">
        <f t="shared" ref="G40:H40" si="7">G8+G16+G28+G38</f>
        <v>13.128</v>
      </c>
      <c r="H40" s="153">
        <f t="shared" si="7"/>
        <v>95.064000000000007</v>
      </c>
      <c r="I40" s="153">
        <f>I8+I16+I28+I38</f>
        <v>108.19200000000001</v>
      </c>
    </row>
  </sheetData>
  <mergeCells count="24">
    <mergeCell ref="B35:B37"/>
    <mergeCell ref="I35:I37"/>
    <mergeCell ref="A4:A7"/>
    <mergeCell ref="A12:A15"/>
    <mergeCell ref="A20:A27"/>
    <mergeCell ref="A32:A37"/>
    <mergeCell ref="B32:B34"/>
    <mergeCell ref="I32:I34"/>
    <mergeCell ref="A1:I1"/>
    <mergeCell ref="A17:I17"/>
    <mergeCell ref="A29:I29"/>
    <mergeCell ref="B20:B23"/>
    <mergeCell ref="I20:I23"/>
    <mergeCell ref="B6:B7"/>
    <mergeCell ref="I6:I7"/>
    <mergeCell ref="B14:B15"/>
    <mergeCell ref="I14:I15"/>
    <mergeCell ref="B24:B27"/>
    <mergeCell ref="I24:I27"/>
    <mergeCell ref="B4:B5"/>
    <mergeCell ref="I4:I5"/>
    <mergeCell ref="B12:B13"/>
    <mergeCell ref="I12:I13"/>
    <mergeCell ref="A9:I9"/>
  </mergeCells>
  <pageMargins left="0.70866141732283472" right="0.70866141732283472" top="0.74803149606299213" bottom="0.74803149606299213" header="0.31496062992125984" footer="0.31496062992125984"/>
  <pageSetup paperSize="9" scale="52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40"/>
  <sheetViews>
    <sheetView zoomScaleNormal="100" workbookViewId="0">
      <selection activeCell="H7" sqref="H7"/>
    </sheetView>
  </sheetViews>
  <sheetFormatPr defaultRowHeight="15" x14ac:dyDescent="0.25"/>
  <cols>
    <col min="1" max="1" width="9.140625" customWidth="1"/>
    <col min="2" max="2" width="23.28515625" customWidth="1"/>
    <col min="3" max="3" width="7" customWidth="1"/>
    <col min="4" max="4" width="14" customWidth="1"/>
    <col min="5" max="6" width="12.140625" customWidth="1"/>
    <col min="7" max="8" width="22.7109375" customWidth="1"/>
  </cols>
  <sheetData>
    <row r="1" spans="1:8" ht="15" customHeight="1" x14ac:dyDescent="0.25">
      <c r="A1" s="207" t="s">
        <v>109</v>
      </c>
      <c r="B1" s="207"/>
      <c r="C1" s="207"/>
      <c r="D1" s="207"/>
      <c r="E1" s="207"/>
      <c r="F1" s="207"/>
      <c r="G1" s="207"/>
      <c r="H1" s="207"/>
    </row>
    <row r="2" spans="1:8" ht="26.1" customHeight="1" x14ac:dyDescent="0.25">
      <c r="A2" s="6"/>
      <c r="B2" s="5"/>
      <c r="C2" s="6"/>
      <c r="D2" s="6"/>
      <c r="E2" s="6" t="s">
        <v>24</v>
      </c>
      <c r="F2" s="136" t="s">
        <v>41</v>
      </c>
      <c r="G2" s="6" t="s">
        <v>106</v>
      </c>
      <c r="H2" s="136" t="s">
        <v>107</v>
      </c>
    </row>
    <row r="3" spans="1:8" ht="26.1" customHeight="1" x14ac:dyDescent="0.25">
      <c r="A3" s="6" t="s">
        <v>19</v>
      </c>
      <c r="B3" s="5" t="s">
        <v>0</v>
      </c>
      <c r="C3" s="6" t="s">
        <v>1</v>
      </c>
      <c r="D3" s="6" t="s">
        <v>39</v>
      </c>
      <c r="E3" s="6" t="s">
        <v>22</v>
      </c>
      <c r="F3" s="136" t="s">
        <v>101</v>
      </c>
      <c r="G3" s="6" t="s">
        <v>30</v>
      </c>
      <c r="H3" s="136" t="s">
        <v>105</v>
      </c>
    </row>
    <row r="4" spans="1:8" ht="24.95" customHeight="1" x14ac:dyDescent="0.25">
      <c r="A4" s="202">
        <v>1</v>
      </c>
      <c r="B4" s="209" t="s">
        <v>40</v>
      </c>
      <c r="C4" s="2" t="s">
        <v>3</v>
      </c>
      <c r="D4" s="2" t="s">
        <v>5</v>
      </c>
      <c r="E4" s="50">
        <f>Грунт!Q4</f>
        <v>5</v>
      </c>
      <c r="F4" s="136"/>
      <c r="G4" s="10">
        <f>0.9*1.2*0.6*E4</f>
        <v>3.24</v>
      </c>
      <c r="H4" s="10"/>
    </row>
    <row r="5" spans="1:8" ht="24.95" customHeight="1" x14ac:dyDescent="0.25">
      <c r="A5" s="212"/>
      <c r="B5" s="209"/>
      <c r="C5" s="2" t="s">
        <v>3</v>
      </c>
      <c r="D5" s="2" t="s">
        <v>13</v>
      </c>
      <c r="E5" s="50">
        <f>Грунт!Q5</f>
        <v>4</v>
      </c>
      <c r="F5" s="136"/>
      <c r="G5" s="10">
        <f>0.9*1.2*0.6*E5</f>
        <v>2.5920000000000001</v>
      </c>
      <c r="H5" s="10"/>
    </row>
    <row r="6" spans="1:8" ht="24.95" customHeight="1" x14ac:dyDescent="0.25">
      <c r="A6" s="212"/>
      <c r="B6" s="209" t="s">
        <v>108</v>
      </c>
      <c r="C6" s="2" t="s">
        <v>3</v>
      </c>
      <c r="D6" s="2" t="s">
        <v>5</v>
      </c>
      <c r="E6" s="136"/>
      <c r="F6" s="136">
        <f>Грунт!F4</f>
        <v>0</v>
      </c>
      <c r="G6" s="10"/>
      <c r="H6" s="10">
        <f>0.3*1.7*F6</f>
        <v>0</v>
      </c>
    </row>
    <row r="7" spans="1:8" ht="24.95" customHeight="1" thickBot="1" x14ac:dyDescent="0.3">
      <c r="A7" s="203"/>
      <c r="B7" s="209"/>
      <c r="C7" s="2" t="s">
        <v>3</v>
      </c>
      <c r="D7" s="2" t="s">
        <v>13</v>
      </c>
      <c r="E7" s="136"/>
      <c r="F7" s="136">
        <f>Грунт!F5</f>
        <v>26.8</v>
      </c>
      <c r="G7" s="142"/>
      <c r="H7" s="10">
        <f>0.3*1.7*F7</f>
        <v>13.668000000000001</v>
      </c>
    </row>
    <row r="8" spans="1:8" ht="15.75" thickBot="1" x14ac:dyDescent="0.3">
      <c r="A8" s="9"/>
      <c r="B8" s="9"/>
      <c r="C8" s="9"/>
      <c r="D8" s="9"/>
      <c r="E8" s="11"/>
      <c r="F8" s="148"/>
      <c r="G8" s="149">
        <f>SUM(G4:G7)</f>
        <v>5.8320000000000007</v>
      </c>
      <c r="H8" s="149">
        <f>SUM(H4:H7)</f>
        <v>13.668000000000001</v>
      </c>
    </row>
    <row r="9" spans="1:8" ht="15" customHeight="1" x14ac:dyDescent="0.25">
      <c r="A9" s="207" t="s">
        <v>109</v>
      </c>
      <c r="B9" s="207"/>
      <c r="C9" s="207"/>
      <c r="D9" s="207"/>
      <c r="E9" s="207"/>
      <c r="F9" s="207"/>
      <c r="G9" s="207"/>
      <c r="H9" s="207"/>
    </row>
    <row r="10" spans="1:8" ht="26.1" customHeight="1" x14ac:dyDescent="0.25">
      <c r="A10" s="39"/>
      <c r="B10" s="5"/>
      <c r="C10" s="39"/>
      <c r="D10" s="39"/>
      <c r="E10" s="39" t="s">
        <v>24</v>
      </c>
      <c r="F10" s="136" t="s">
        <v>41</v>
      </c>
      <c r="G10" s="136" t="s">
        <v>106</v>
      </c>
      <c r="H10" s="136" t="s">
        <v>107</v>
      </c>
    </row>
    <row r="11" spans="1:8" ht="26.1" customHeight="1" x14ac:dyDescent="0.25">
      <c r="A11" s="39" t="s">
        <v>19</v>
      </c>
      <c r="B11" s="5" t="s">
        <v>0</v>
      </c>
      <c r="C11" s="39" t="s">
        <v>1</v>
      </c>
      <c r="D11" s="39" t="s">
        <v>39</v>
      </c>
      <c r="E11" s="39" t="s">
        <v>22</v>
      </c>
      <c r="F11" s="136" t="s">
        <v>101</v>
      </c>
      <c r="G11" s="39" t="s">
        <v>30</v>
      </c>
      <c r="H11" s="136" t="s">
        <v>105</v>
      </c>
    </row>
    <row r="12" spans="1:8" x14ac:dyDescent="0.25">
      <c r="A12" s="202">
        <v>2</v>
      </c>
      <c r="B12" s="209" t="s">
        <v>40</v>
      </c>
      <c r="C12" s="2" t="s">
        <v>3</v>
      </c>
      <c r="D12" s="2" t="s">
        <v>5</v>
      </c>
      <c r="E12" s="50">
        <f>Грунт!Q10</f>
        <v>4</v>
      </c>
      <c r="F12" s="136"/>
      <c r="G12" s="10">
        <f>0.9*1.2*0.6*E12</f>
        <v>2.5920000000000001</v>
      </c>
      <c r="H12" s="10"/>
    </row>
    <row r="13" spans="1:8" x14ac:dyDescent="0.25">
      <c r="A13" s="212"/>
      <c r="B13" s="209"/>
      <c r="C13" s="2" t="s">
        <v>3</v>
      </c>
      <c r="D13" s="2" t="s">
        <v>13</v>
      </c>
      <c r="E13" s="50">
        <f>Грунт!Q11</f>
        <v>6</v>
      </c>
      <c r="F13" s="136"/>
      <c r="G13" s="10">
        <f>0.9*1.2*0.6*E13</f>
        <v>3.8879999999999999</v>
      </c>
      <c r="H13" s="10"/>
    </row>
    <row r="14" spans="1:8" x14ac:dyDescent="0.25">
      <c r="A14" s="212"/>
      <c r="B14" s="209" t="s">
        <v>108</v>
      </c>
      <c r="C14" s="2" t="s">
        <v>3</v>
      </c>
      <c r="D14" s="2" t="s">
        <v>5</v>
      </c>
      <c r="E14" s="136"/>
      <c r="F14" s="136">
        <f>Грунт!F12</f>
        <v>39</v>
      </c>
      <c r="G14" s="10"/>
      <c r="H14" s="10">
        <f>0.3*1.7*F14</f>
        <v>19.89</v>
      </c>
    </row>
    <row r="15" spans="1:8" ht="15.75" thickBot="1" x14ac:dyDescent="0.3">
      <c r="A15" s="203"/>
      <c r="B15" s="209"/>
      <c r="C15" s="2" t="s">
        <v>3</v>
      </c>
      <c r="D15" s="2" t="s">
        <v>13</v>
      </c>
      <c r="E15" s="136"/>
      <c r="F15" s="136">
        <f>Грунт!F13</f>
        <v>0</v>
      </c>
      <c r="G15" s="10"/>
      <c r="H15" s="10">
        <f>0.3*1.7*F15</f>
        <v>0</v>
      </c>
    </row>
    <row r="16" spans="1:8" ht="15.75" thickBot="1" x14ac:dyDescent="0.3">
      <c r="A16" s="9"/>
      <c r="B16" s="9"/>
      <c r="C16" s="9"/>
      <c r="D16" s="9"/>
      <c r="E16" s="11"/>
      <c r="F16" s="11"/>
      <c r="G16" s="149">
        <f>SUM(G12:G15)</f>
        <v>6.48</v>
      </c>
      <c r="H16" s="149">
        <f>SUM(H12:H15)</f>
        <v>19.89</v>
      </c>
    </row>
    <row r="17" spans="1:8" ht="15" customHeight="1" x14ac:dyDescent="0.25">
      <c r="A17" s="207" t="s">
        <v>109</v>
      </c>
      <c r="B17" s="207"/>
      <c r="C17" s="207"/>
      <c r="D17" s="207"/>
      <c r="E17" s="207"/>
      <c r="F17" s="207"/>
      <c r="G17" s="207"/>
      <c r="H17" s="207"/>
    </row>
    <row r="18" spans="1:8" ht="26.1" customHeight="1" x14ac:dyDescent="0.25">
      <c r="A18" s="39"/>
      <c r="B18" s="5"/>
      <c r="C18" s="39"/>
      <c r="D18" s="39"/>
      <c r="E18" s="39" t="s">
        <v>24</v>
      </c>
      <c r="F18" s="136" t="s">
        <v>41</v>
      </c>
      <c r="G18" s="136" t="s">
        <v>106</v>
      </c>
      <c r="H18" s="136" t="s">
        <v>107</v>
      </c>
    </row>
    <row r="19" spans="1:8" ht="26.1" customHeight="1" x14ac:dyDescent="0.25">
      <c r="A19" s="39" t="s">
        <v>19</v>
      </c>
      <c r="B19" s="5" t="s">
        <v>0</v>
      </c>
      <c r="C19" s="39" t="s">
        <v>1</v>
      </c>
      <c r="D19" s="39" t="s">
        <v>39</v>
      </c>
      <c r="E19" s="39" t="s">
        <v>22</v>
      </c>
      <c r="F19" s="136" t="s">
        <v>101</v>
      </c>
      <c r="G19" s="39" t="s">
        <v>30</v>
      </c>
      <c r="H19" s="136" t="s">
        <v>105</v>
      </c>
    </row>
    <row r="20" spans="1:8" ht="15.75" customHeight="1" x14ac:dyDescent="0.25">
      <c r="A20" s="202">
        <v>3</v>
      </c>
      <c r="B20" s="209" t="s">
        <v>40</v>
      </c>
      <c r="C20" s="2" t="s">
        <v>3</v>
      </c>
      <c r="D20" s="2" t="s">
        <v>5</v>
      </c>
      <c r="E20" s="50">
        <f>Грунт!Q16</f>
        <v>3</v>
      </c>
      <c r="F20" s="136"/>
      <c r="G20" s="10">
        <f>0.9*1.2*0.6*E20</f>
        <v>1.944</v>
      </c>
      <c r="H20" s="10"/>
    </row>
    <row r="21" spans="1:8" x14ac:dyDescent="0.25">
      <c r="A21" s="212"/>
      <c r="B21" s="209"/>
      <c r="C21" s="2" t="s">
        <v>3</v>
      </c>
      <c r="D21" s="2" t="s">
        <v>13</v>
      </c>
      <c r="E21" s="50">
        <f>Грунт!Q17</f>
        <v>6</v>
      </c>
      <c r="F21" s="136"/>
      <c r="G21" s="10">
        <f>0.9*1.2*0.6*E21</f>
        <v>3.8879999999999999</v>
      </c>
      <c r="H21" s="10"/>
    </row>
    <row r="22" spans="1:8" x14ac:dyDescent="0.25">
      <c r="A22" s="212"/>
      <c r="B22" s="209"/>
      <c r="C22" s="2" t="s">
        <v>3</v>
      </c>
      <c r="D22" s="2" t="s">
        <v>16</v>
      </c>
      <c r="E22" s="50">
        <f>Грунт!Q18</f>
        <v>0</v>
      </c>
      <c r="F22" s="136"/>
      <c r="G22" s="10">
        <f>0.9*1.2*0.6*E22</f>
        <v>0</v>
      </c>
      <c r="H22" s="10"/>
    </row>
    <row r="23" spans="1:8" x14ac:dyDescent="0.25">
      <c r="A23" s="212"/>
      <c r="B23" s="209"/>
      <c r="C23" s="2" t="s">
        <v>3</v>
      </c>
      <c r="D23" s="2" t="s">
        <v>17</v>
      </c>
      <c r="E23" s="50">
        <f>Грунт!Q19</f>
        <v>3</v>
      </c>
      <c r="F23" s="136"/>
      <c r="G23" s="10">
        <f>1.2*1.25*0.6*E23</f>
        <v>2.6999999999999997</v>
      </c>
      <c r="H23" s="10"/>
    </row>
    <row r="24" spans="1:8" ht="15.75" customHeight="1" x14ac:dyDescent="0.25">
      <c r="A24" s="212"/>
      <c r="B24" s="209" t="s">
        <v>108</v>
      </c>
      <c r="C24" s="2" t="s">
        <v>3</v>
      </c>
      <c r="D24" s="2" t="s">
        <v>5</v>
      </c>
      <c r="E24" s="136"/>
      <c r="F24" s="136">
        <f>Грунт!F16</f>
        <v>29.8</v>
      </c>
      <c r="G24" s="10"/>
      <c r="H24" s="10">
        <f>0.3*1.7*F24</f>
        <v>15.198</v>
      </c>
    </row>
    <row r="25" spans="1:8" x14ac:dyDescent="0.25">
      <c r="A25" s="212"/>
      <c r="B25" s="209"/>
      <c r="C25" s="2" t="s">
        <v>3</v>
      </c>
      <c r="D25" s="2" t="s">
        <v>13</v>
      </c>
      <c r="E25" s="136"/>
      <c r="F25" s="136">
        <f>Грунт!F17</f>
        <v>0</v>
      </c>
      <c r="G25" s="10"/>
      <c r="H25" s="10">
        <f>0.3*1.7*F25</f>
        <v>0</v>
      </c>
    </row>
    <row r="26" spans="1:8" x14ac:dyDescent="0.25">
      <c r="A26" s="212"/>
      <c r="B26" s="209"/>
      <c r="C26" s="2" t="s">
        <v>3</v>
      </c>
      <c r="D26" s="2" t="s">
        <v>16</v>
      </c>
      <c r="E26" s="136"/>
      <c r="F26" s="136">
        <f>Грунт!F18</f>
        <v>11.7</v>
      </c>
      <c r="G26" s="10"/>
      <c r="H26" s="10">
        <f t="shared" ref="H26:H27" si="0">0.3*1.7*F26</f>
        <v>5.9669999999999996</v>
      </c>
    </row>
    <row r="27" spans="1:8" ht="15.75" thickBot="1" x14ac:dyDescent="0.3">
      <c r="A27" s="203"/>
      <c r="B27" s="209"/>
      <c r="C27" s="2" t="s">
        <v>3</v>
      </c>
      <c r="D27" s="2" t="s">
        <v>17</v>
      </c>
      <c r="E27" s="136"/>
      <c r="F27" s="136">
        <f>Грунт!F19</f>
        <v>28.1</v>
      </c>
      <c r="G27" s="10"/>
      <c r="H27" s="10">
        <f t="shared" si="0"/>
        <v>14.331000000000001</v>
      </c>
    </row>
    <row r="28" spans="1:8" ht="15.75" thickBot="1" x14ac:dyDescent="0.3">
      <c r="A28" s="9"/>
      <c r="B28" s="9"/>
      <c r="C28" s="9"/>
      <c r="D28" s="9"/>
      <c r="E28" s="11"/>
      <c r="F28" s="11"/>
      <c r="G28" s="149">
        <f>SUM(G20:G27)</f>
        <v>8.532</v>
      </c>
      <c r="H28" s="149">
        <f>SUM(H20:H27)</f>
        <v>35.496000000000002</v>
      </c>
    </row>
    <row r="29" spans="1:8" ht="15" customHeight="1" x14ac:dyDescent="0.25">
      <c r="A29" s="207" t="s">
        <v>109</v>
      </c>
      <c r="B29" s="207"/>
      <c r="C29" s="207"/>
      <c r="D29" s="207"/>
      <c r="E29" s="207"/>
      <c r="F29" s="207"/>
      <c r="G29" s="207"/>
      <c r="H29" s="207"/>
    </row>
    <row r="30" spans="1:8" ht="26.1" customHeight="1" x14ac:dyDescent="0.25">
      <c r="A30" s="39"/>
      <c r="B30" s="5"/>
      <c r="C30" s="39"/>
      <c r="D30" s="39"/>
      <c r="E30" s="39" t="s">
        <v>24</v>
      </c>
      <c r="F30" s="136" t="s">
        <v>41</v>
      </c>
      <c r="G30" s="136" t="s">
        <v>106</v>
      </c>
      <c r="H30" s="136" t="s">
        <v>107</v>
      </c>
    </row>
    <row r="31" spans="1:8" ht="26.1" customHeight="1" x14ac:dyDescent="0.25">
      <c r="A31" s="39" t="s">
        <v>19</v>
      </c>
      <c r="B31" s="5" t="s">
        <v>0</v>
      </c>
      <c r="C31" s="39" t="s">
        <v>1</v>
      </c>
      <c r="D31" s="39" t="s">
        <v>39</v>
      </c>
      <c r="E31" s="39" t="s">
        <v>22</v>
      </c>
      <c r="F31" s="136" t="s">
        <v>101</v>
      </c>
      <c r="G31" s="39" t="s">
        <v>30</v>
      </c>
      <c r="H31" s="136" t="s">
        <v>105</v>
      </c>
    </row>
    <row r="32" spans="1:8" ht="15.75" customHeight="1" x14ac:dyDescent="0.25">
      <c r="A32" s="202">
        <v>4</v>
      </c>
      <c r="B32" s="209" t="s">
        <v>40</v>
      </c>
      <c r="C32" s="2" t="s">
        <v>3</v>
      </c>
      <c r="D32" s="2" t="s">
        <v>5</v>
      </c>
      <c r="E32" s="50">
        <f>Грунт!Q24</f>
        <v>13</v>
      </c>
      <c r="F32" s="136"/>
      <c r="G32" s="10">
        <f>0.9*1.2*0.6*E32</f>
        <v>8.4239999999999995</v>
      </c>
      <c r="H32" s="10"/>
    </row>
    <row r="33" spans="1:8" x14ac:dyDescent="0.25">
      <c r="A33" s="212"/>
      <c r="B33" s="209"/>
      <c r="C33" s="2" t="s">
        <v>3</v>
      </c>
      <c r="D33" s="2" t="s">
        <v>13</v>
      </c>
      <c r="E33" s="50">
        <f>Грунт!Q25</f>
        <v>3</v>
      </c>
      <c r="F33" s="136"/>
      <c r="G33" s="10">
        <f>0.9*1.2*0.6*E33</f>
        <v>1.944</v>
      </c>
      <c r="H33" s="10"/>
    </row>
    <row r="34" spans="1:8" x14ac:dyDescent="0.25">
      <c r="A34" s="212"/>
      <c r="B34" s="209"/>
      <c r="C34" s="2" t="s">
        <v>3</v>
      </c>
      <c r="D34" s="2" t="s">
        <v>16</v>
      </c>
      <c r="E34" s="50">
        <f>Грунт!Q26</f>
        <v>13</v>
      </c>
      <c r="F34" s="136"/>
      <c r="G34" s="10">
        <f>0.9*1.2*0.6*E34</f>
        <v>8.4239999999999995</v>
      </c>
      <c r="H34" s="10"/>
    </row>
    <row r="35" spans="1:8" ht="15.75" customHeight="1" x14ac:dyDescent="0.25">
      <c r="A35" s="212"/>
      <c r="B35" s="209" t="s">
        <v>108</v>
      </c>
      <c r="C35" s="2" t="s">
        <v>3</v>
      </c>
      <c r="D35" s="2" t="s">
        <v>5</v>
      </c>
      <c r="E35" s="136"/>
      <c r="F35" s="136">
        <f>Грунт!F24</f>
        <v>31.7</v>
      </c>
      <c r="G35" s="10"/>
      <c r="H35" s="10">
        <f>0.3*1.7*F35</f>
        <v>16.167000000000002</v>
      </c>
    </row>
    <row r="36" spans="1:8" x14ac:dyDescent="0.25">
      <c r="A36" s="212"/>
      <c r="B36" s="209"/>
      <c r="C36" s="2" t="s">
        <v>3</v>
      </c>
      <c r="D36" s="2" t="s">
        <v>13</v>
      </c>
      <c r="E36" s="136"/>
      <c r="F36" s="136">
        <f>Грунт!F25</f>
        <v>9.8000000000000007</v>
      </c>
      <c r="G36" s="10"/>
      <c r="H36" s="10">
        <f>0.3*1.7*F36</f>
        <v>4.9980000000000002</v>
      </c>
    </row>
    <row r="37" spans="1:8" ht="15.75" thickBot="1" x14ac:dyDescent="0.3">
      <c r="A37" s="203"/>
      <c r="B37" s="209"/>
      <c r="C37" s="2" t="s">
        <v>3</v>
      </c>
      <c r="D37" s="2" t="s">
        <v>16</v>
      </c>
      <c r="E37" s="136"/>
      <c r="F37" s="136">
        <f>Грунт!F26</f>
        <v>9.5</v>
      </c>
      <c r="G37" s="10"/>
      <c r="H37" s="10">
        <f>0.3*1.7*F37</f>
        <v>4.8449999999999998</v>
      </c>
    </row>
    <row r="38" spans="1:8" ht="15.75" thickBot="1" x14ac:dyDescent="0.3">
      <c r="A38" s="9"/>
      <c r="B38" s="9"/>
      <c r="C38" s="9"/>
      <c r="D38" s="9"/>
      <c r="E38" s="11"/>
      <c r="F38" s="11"/>
      <c r="G38" s="149">
        <f>SUM(G32:G37)</f>
        <v>18.791999999999998</v>
      </c>
      <c r="H38" s="149">
        <f>SUM(H32:H37)</f>
        <v>26.01</v>
      </c>
    </row>
    <row r="39" spans="1:8" ht="15.75" thickBot="1" x14ac:dyDescent="0.3"/>
    <row r="40" spans="1:8" ht="15.75" thickBot="1" x14ac:dyDescent="0.3">
      <c r="E40" s="12">
        <f>SUM(E4:E34)</f>
        <v>60</v>
      </c>
      <c r="F40" s="12">
        <f>SUM(F4:F37)</f>
        <v>186.4</v>
      </c>
      <c r="G40" s="150">
        <f>G38+G28+G16+G8</f>
        <v>39.636000000000003</v>
      </c>
      <c r="H40" s="150">
        <f>H38+H28+H16+H8</f>
        <v>95.064000000000007</v>
      </c>
    </row>
  </sheetData>
  <mergeCells count="16">
    <mergeCell ref="B35:B37"/>
    <mergeCell ref="A32:A37"/>
    <mergeCell ref="A20:A27"/>
    <mergeCell ref="B14:B15"/>
    <mergeCell ref="B24:B27"/>
    <mergeCell ref="A12:A15"/>
    <mergeCell ref="B32:B34"/>
    <mergeCell ref="A17:H17"/>
    <mergeCell ref="A29:H29"/>
    <mergeCell ref="B20:B23"/>
    <mergeCell ref="A1:H1"/>
    <mergeCell ref="B4:B5"/>
    <mergeCell ref="B12:B13"/>
    <mergeCell ref="A9:H9"/>
    <mergeCell ref="B6:B7"/>
    <mergeCell ref="A4:A7"/>
  </mergeCells>
  <pageMargins left="0.70866141732283472" right="0.70866141732283472" top="0.74803149606299213" bottom="0.74803149606299213" header="0.31496062992125984" footer="0.31496062992125984"/>
  <pageSetup paperSize="9" scale="85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36"/>
  <sheetViews>
    <sheetView zoomScaleNormal="100" workbookViewId="0">
      <selection activeCell="I6" sqref="I6"/>
    </sheetView>
  </sheetViews>
  <sheetFormatPr defaultRowHeight="15" x14ac:dyDescent="0.25"/>
  <cols>
    <col min="1" max="1" width="7.7109375" customWidth="1"/>
    <col min="2" max="2" width="14" customWidth="1"/>
    <col min="3" max="3" width="14.42578125" customWidth="1"/>
    <col min="4" max="4" width="16.85546875" customWidth="1"/>
    <col min="5" max="7" width="19.28515625" customWidth="1"/>
    <col min="8" max="8" width="23.42578125" customWidth="1"/>
    <col min="9" max="9" width="23.5703125" customWidth="1"/>
  </cols>
  <sheetData>
    <row r="1" spans="1:9" x14ac:dyDescent="0.25">
      <c r="A1" s="205" t="s">
        <v>51</v>
      </c>
      <c r="B1" s="205"/>
      <c r="C1" s="205"/>
      <c r="D1" s="205"/>
      <c r="E1" s="205"/>
      <c r="F1" s="205"/>
      <c r="G1" s="205"/>
      <c r="H1" s="205"/>
      <c r="I1" s="205"/>
    </row>
    <row r="2" spans="1:9" x14ac:dyDescent="0.25">
      <c r="A2" s="19"/>
      <c r="B2" s="9"/>
      <c r="C2" s="9"/>
      <c r="D2" s="59" t="s">
        <v>21</v>
      </c>
      <c r="E2" s="59" t="s">
        <v>26</v>
      </c>
      <c r="F2" s="59" t="s">
        <v>29</v>
      </c>
      <c r="G2" s="59" t="s">
        <v>27</v>
      </c>
      <c r="H2" s="205" t="s">
        <v>28</v>
      </c>
      <c r="I2" s="205"/>
    </row>
    <row r="3" spans="1:9" ht="26.1" customHeight="1" x14ac:dyDescent="0.25">
      <c r="A3" s="61"/>
      <c r="B3" s="61"/>
      <c r="C3" s="61"/>
      <c r="D3" s="60" t="s">
        <v>31</v>
      </c>
      <c r="E3" s="60" t="s">
        <v>34</v>
      </c>
      <c r="F3" s="60" t="s">
        <v>35</v>
      </c>
      <c r="G3" s="7" t="s">
        <v>38</v>
      </c>
      <c r="H3" s="7" t="s">
        <v>37</v>
      </c>
      <c r="I3" s="7" t="s">
        <v>15</v>
      </c>
    </row>
    <row r="4" spans="1:9" ht="26.1" customHeight="1" x14ac:dyDescent="0.25">
      <c r="A4" s="2" t="s">
        <v>19</v>
      </c>
      <c r="B4" s="61" t="s">
        <v>39</v>
      </c>
      <c r="C4" s="41" t="s">
        <v>7</v>
      </c>
      <c r="D4" s="59"/>
      <c r="E4" s="41" t="s">
        <v>25</v>
      </c>
      <c r="F4" s="41" t="s">
        <v>23</v>
      </c>
      <c r="G4" s="59" t="s">
        <v>46</v>
      </c>
      <c r="H4" s="59" t="s">
        <v>55</v>
      </c>
      <c r="I4" s="59" t="s">
        <v>36</v>
      </c>
    </row>
    <row r="5" spans="1:9" ht="24.95" customHeight="1" x14ac:dyDescent="0.25">
      <c r="A5" s="219">
        <v>1</v>
      </c>
      <c r="B5" s="2" t="s">
        <v>5</v>
      </c>
      <c r="C5" s="2">
        <f>Грунт!E4</f>
        <v>17.5</v>
      </c>
      <c r="D5" s="34">
        <f>Грунт!Q4</f>
        <v>5</v>
      </c>
      <c r="E5" s="22">
        <f>Щебень!G4</f>
        <v>2.7000000000000006</v>
      </c>
      <c r="F5" s="22">
        <f>Подб_Роств!G4</f>
        <v>1.04</v>
      </c>
      <c r="G5" s="22">
        <f>Ростверки!G4</f>
        <v>3.24</v>
      </c>
      <c r="H5" s="22">
        <f>(2.1+3.4)/2*0.8*C5</f>
        <v>38.5</v>
      </c>
      <c r="I5" s="22">
        <f>H5-G5-F5-E5</f>
        <v>31.52</v>
      </c>
    </row>
    <row r="6" spans="1:9" ht="24.95" customHeight="1" x14ac:dyDescent="0.25">
      <c r="A6" s="219"/>
      <c r="B6" s="2" t="s">
        <v>13</v>
      </c>
      <c r="C6" s="2">
        <f>Грунт!E5</f>
        <v>34.700000000000003</v>
      </c>
      <c r="D6" s="34">
        <f>Грунт!Q5</f>
        <v>4</v>
      </c>
      <c r="E6" s="22">
        <f>Щебень!G5</f>
        <v>2.1600000000000006</v>
      </c>
      <c r="F6" s="22">
        <f>Подб_Роств!G5</f>
        <v>0.83200000000000007</v>
      </c>
      <c r="G6" s="22">
        <f>Ростверки!G5</f>
        <v>2.5920000000000001</v>
      </c>
      <c r="H6" s="22">
        <f>(2.1+3.4)/2*0.8*C6</f>
        <v>76.340000000000018</v>
      </c>
      <c r="I6" s="22">
        <f>H6-G6-F6-E6</f>
        <v>70.756000000000029</v>
      </c>
    </row>
    <row r="7" spans="1:9" x14ac:dyDescent="0.25">
      <c r="A7" s="19"/>
      <c r="B7" s="63" t="s">
        <v>58</v>
      </c>
      <c r="C7" s="64">
        <f>SUM(C5:C6)</f>
        <v>52.2</v>
      </c>
      <c r="D7" s="64">
        <f>SUM(D5:D6)</f>
        <v>9</v>
      </c>
      <c r="E7" s="65">
        <f t="shared" ref="E7" si="0">SUM(E5:E6)</f>
        <v>4.8600000000000012</v>
      </c>
      <c r="F7" s="65">
        <f t="shared" ref="F7" si="1">SUM(F5:F6)</f>
        <v>1.8720000000000001</v>
      </c>
      <c r="G7" s="65">
        <f t="shared" ref="G7" si="2">SUM(G5:G6)</f>
        <v>5.8320000000000007</v>
      </c>
      <c r="H7" s="65">
        <f t="shared" ref="H7" si="3">SUM(H5:H6)</f>
        <v>114.84000000000002</v>
      </c>
      <c r="I7" s="65">
        <f t="shared" ref="I7" si="4">SUM(I5:I6)</f>
        <v>102.27600000000002</v>
      </c>
    </row>
    <row r="8" spans="1:9" x14ac:dyDescent="0.25">
      <c r="A8" s="25"/>
      <c r="B8" s="25"/>
      <c r="C8" s="25"/>
      <c r="D8" s="28"/>
      <c r="E8" s="28"/>
      <c r="F8" s="28"/>
      <c r="G8" s="28"/>
      <c r="H8" s="28"/>
      <c r="I8" s="28"/>
    </row>
    <row r="9" spans="1:9" x14ac:dyDescent="0.25">
      <c r="A9" s="216" t="s">
        <v>51</v>
      </c>
      <c r="B9" s="217"/>
      <c r="C9" s="217"/>
      <c r="D9" s="217"/>
      <c r="E9" s="217"/>
      <c r="F9" s="217"/>
      <c r="G9" s="217"/>
      <c r="H9" s="217"/>
      <c r="I9" s="218"/>
    </row>
    <row r="10" spans="1:9" x14ac:dyDescent="0.25">
      <c r="A10" s="19"/>
      <c r="B10" s="9"/>
      <c r="C10" s="9"/>
      <c r="D10" s="59" t="s">
        <v>21</v>
      </c>
      <c r="E10" s="59" t="s">
        <v>26</v>
      </c>
      <c r="F10" s="59" t="s">
        <v>29</v>
      </c>
      <c r="G10" s="59" t="s">
        <v>27</v>
      </c>
      <c r="H10" s="205" t="s">
        <v>28</v>
      </c>
      <c r="I10" s="205"/>
    </row>
    <row r="11" spans="1:9" ht="26.1" customHeight="1" x14ac:dyDescent="0.25">
      <c r="A11" s="61"/>
      <c r="B11" s="61"/>
      <c r="C11" s="61"/>
      <c r="D11" s="60" t="s">
        <v>31</v>
      </c>
      <c r="E11" s="60" t="s">
        <v>34</v>
      </c>
      <c r="F11" s="60" t="s">
        <v>35</v>
      </c>
      <c r="G11" s="7" t="s">
        <v>38</v>
      </c>
      <c r="H11" s="7" t="s">
        <v>37</v>
      </c>
      <c r="I11" s="7" t="s">
        <v>15</v>
      </c>
    </row>
    <row r="12" spans="1:9" ht="26.1" customHeight="1" x14ac:dyDescent="0.25">
      <c r="A12" s="2" t="s">
        <v>19</v>
      </c>
      <c r="B12" s="61" t="s">
        <v>39</v>
      </c>
      <c r="C12" s="41" t="s">
        <v>7</v>
      </c>
      <c r="D12" s="59"/>
      <c r="E12" s="41" t="s">
        <v>25</v>
      </c>
      <c r="F12" s="41" t="s">
        <v>23</v>
      </c>
      <c r="G12" s="59" t="s">
        <v>46</v>
      </c>
      <c r="H12" s="59" t="s">
        <v>55</v>
      </c>
      <c r="I12" s="59" t="s">
        <v>36</v>
      </c>
    </row>
    <row r="13" spans="1:9" x14ac:dyDescent="0.25">
      <c r="A13" s="219">
        <v>2</v>
      </c>
      <c r="B13" s="2" t="s">
        <v>5</v>
      </c>
      <c r="C13" s="2">
        <f>Грунт!E10</f>
        <v>54.2</v>
      </c>
      <c r="D13" s="34">
        <f>Грунт!Q10</f>
        <v>4</v>
      </c>
      <c r="E13" s="22">
        <f>Щебень!G12</f>
        <v>2.1600000000000006</v>
      </c>
      <c r="F13" s="22">
        <f>Подб_Роств!G12</f>
        <v>0.83200000000000007</v>
      </c>
      <c r="G13" s="22">
        <f>Ростверки!G12</f>
        <v>2.5920000000000001</v>
      </c>
      <c r="H13" s="22">
        <f>(2.1+3.4)/2*0.8*C13</f>
        <v>119.24000000000001</v>
      </c>
      <c r="I13" s="22">
        <f>H13-G13-F13-E13</f>
        <v>113.65600000000002</v>
      </c>
    </row>
    <row r="14" spans="1:9" x14ac:dyDescent="0.25">
      <c r="A14" s="219"/>
      <c r="B14" s="2" t="s">
        <v>13</v>
      </c>
      <c r="C14" s="2">
        <f>Грунт!E11</f>
        <v>21.5</v>
      </c>
      <c r="D14" s="34">
        <f>Грунт!Q11</f>
        <v>6</v>
      </c>
      <c r="E14" s="22">
        <f>Щебень!G13</f>
        <v>3.2400000000000011</v>
      </c>
      <c r="F14" s="22">
        <f>Подб_Роств!G13</f>
        <v>1.2480000000000002</v>
      </c>
      <c r="G14" s="22">
        <f>Ростверки!G13</f>
        <v>3.8879999999999999</v>
      </c>
      <c r="H14" s="22">
        <f>(2.1+3.4)/2*0.8*C14</f>
        <v>47.300000000000004</v>
      </c>
      <c r="I14" s="22">
        <f>H14-G14-F14-E14</f>
        <v>38.924000000000007</v>
      </c>
    </row>
    <row r="15" spans="1:9" x14ac:dyDescent="0.25">
      <c r="A15" s="60"/>
      <c r="B15" s="63" t="s">
        <v>58</v>
      </c>
      <c r="C15" s="64">
        <f>SUM(C13:C14)</f>
        <v>75.7</v>
      </c>
      <c r="D15" s="64">
        <f>SUM(D13:D14)</f>
        <v>10</v>
      </c>
      <c r="E15" s="65">
        <f t="shared" ref="E15" si="5">SUM(E13:E14)</f>
        <v>5.4000000000000021</v>
      </c>
      <c r="F15" s="65">
        <f t="shared" ref="F15" si="6">SUM(F13:F14)</f>
        <v>2.08</v>
      </c>
      <c r="G15" s="65">
        <f t="shared" ref="G15" si="7">SUM(G13:G14)</f>
        <v>6.48</v>
      </c>
      <c r="H15" s="65">
        <f t="shared" ref="H15" si="8">SUM(H13:H14)</f>
        <v>166.54000000000002</v>
      </c>
      <c r="I15" s="65">
        <f t="shared" ref="I15" si="9">SUM(I13:I14)</f>
        <v>152.58000000000004</v>
      </c>
    </row>
    <row r="16" spans="1:9" x14ac:dyDescent="0.25">
      <c r="A16" s="27"/>
      <c r="B16" s="26"/>
      <c r="C16" s="27"/>
      <c r="D16" s="28"/>
      <c r="E16" s="28"/>
      <c r="F16" s="28"/>
      <c r="G16" s="28"/>
      <c r="H16" s="28"/>
      <c r="I16" s="28"/>
    </row>
    <row r="17" spans="1:9" x14ac:dyDescent="0.25">
      <c r="A17" s="205" t="s">
        <v>51</v>
      </c>
      <c r="B17" s="205"/>
      <c r="C17" s="205"/>
      <c r="D17" s="205"/>
      <c r="E17" s="205"/>
      <c r="F17" s="205"/>
      <c r="G17" s="205"/>
      <c r="H17" s="205"/>
      <c r="I17" s="205"/>
    </row>
    <row r="18" spans="1:9" x14ac:dyDescent="0.25">
      <c r="A18" s="19"/>
      <c r="B18" s="9"/>
      <c r="C18" s="9"/>
      <c r="D18" s="59" t="s">
        <v>21</v>
      </c>
      <c r="E18" s="59" t="s">
        <v>26</v>
      </c>
      <c r="F18" s="59" t="s">
        <v>29</v>
      </c>
      <c r="G18" s="59" t="s">
        <v>27</v>
      </c>
      <c r="H18" s="205" t="s">
        <v>28</v>
      </c>
      <c r="I18" s="205"/>
    </row>
    <row r="19" spans="1:9" ht="26.1" customHeight="1" x14ac:dyDescent="0.25">
      <c r="A19" s="61"/>
      <c r="B19" s="61"/>
      <c r="C19" s="61"/>
      <c r="D19" s="60" t="s">
        <v>31</v>
      </c>
      <c r="E19" s="60" t="s">
        <v>34</v>
      </c>
      <c r="F19" s="60" t="s">
        <v>35</v>
      </c>
      <c r="G19" s="7" t="s">
        <v>38</v>
      </c>
      <c r="H19" s="7" t="s">
        <v>37</v>
      </c>
      <c r="I19" s="7" t="s">
        <v>15</v>
      </c>
    </row>
    <row r="20" spans="1:9" ht="26.1" customHeight="1" x14ac:dyDescent="0.25">
      <c r="A20" s="2" t="s">
        <v>19</v>
      </c>
      <c r="B20" s="61" t="s">
        <v>39</v>
      </c>
      <c r="C20" s="41" t="s">
        <v>7</v>
      </c>
      <c r="D20" s="59"/>
      <c r="E20" s="41" t="s">
        <v>25</v>
      </c>
      <c r="F20" s="41" t="s">
        <v>23</v>
      </c>
      <c r="G20" s="59" t="s">
        <v>46</v>
      </c>
      <c r="H20" s="59" t="s">
        <v>55</v>
      </c>
      <c r="I20" s="59" t="s">
        <v>36</v>
      </c>
    </row>
    <row r="21" spans="1:9" x14ac:dyDescent="0.25">
      <c r="A21" s="219">
        <v>3</v>
      </c>
      <c r="B21" s="2" t="s">
        <v>5</v>
      </c>
      <c r="C21" s="2">
        <f>Грунт!E16</f>
        <v>42.9</v>
      </c>
      <c r="D21" s="34">
        <f>Грунт!Q16</f>
        <v>3</v>
      </c>
      <c r="E21" s="22">
        <f>Щебень!G20</f>
        <v>1.6200000000000006</v>
      </c>
      <c r="F21" s="22">
        <f>Подб_Роств!G20</f>
        <v>0.62400000000000011</v>
      </c>
      <c r="G21" s="22">
        <f>Ростверки!G20</f>
        <v>1.944</v>
      </c>
      <c r="H21" s="22">
        <f>(2.1+3.4)/2*0.8*C21</f>
        <v>94.38000000000001</v>
      </c>
      <c r="I21" s="22">
        <f>H21-G21-F21-E21</f>
        <v>90.192000000000007</v>
      </c>
    </row>
    <row r="22" spans="1:9" x14ac:dyDescent="0.25">
      <c r="A22" s="219"/>
      <c r="B22" s="2" t="s">
        <v>13</v>
      </c>
      <c r="C22" s="2">
        <f>Грунт!E17</f>
        <v>20.9</v>
      </c>
      <c r="D22" s="34">
        <f>Грунт!Q17</f>
        <v>6</v>
      </c>
      <c r="E22" s="22">
        <f>Щебень!G21</f>
        <v>3.2400000000000011</v>
      </c>
      <c r="F22" s="22">
        <f>Подб_Роств!G21</f>
        <v>1.2480000000000002</v>
      </c>
      <c r="G22" s="22">
        <f>Ростверки!G21</f>
        <v>3.8879999999999999</v>
      </c>
      <c r="H22" s="22">
        <f>(2.1+3.4)/2*0.8*C22</f>
        <v>45.980000000000004</v>
      </c>
      <c r="I22" s="22">
        <f t="shared" ref="I22:I24" si="10">H22-G22-F22-E22</f>
        <v>37.604000000000006</v>
      </c>
    </row>
    <row r="23" spans="1:9" x14ac:dyDescent="0.25">
      <c r="A23" s="219"/>
      <c r="B23" s="2" t="s">
        <v>16</v>
      </c>
      <c r="C23" s="2">
        <f>Грунт!E18</f>
        <v>12.5</v>
      </c>
      <c r="D23" s="34">
        <f>Грунт!Q18</f>
        <v>0</v>
      </c>
      <c r="E23" s="22">
        <f>Щебень!G22</f>
        <v>0</v>
      </c>
      <c r="F23" s="22">
        <f>Подб_Роств!G22</f>
        <v>0</v>
      </c>
      <c r="G23" s="22">
        <f>Ростверки!G22</f>
        <v>0</v>
      </c>
      <c r="H23" s="22">
        <f>(2.1+3.4)/2*0.8*C23</f>
        <v>27.500000000000004</v>
      </c>
      <c r="I23" s="22">
        <f t="shared" si="10"/>
        <v>27.500000000000004</v>
      </c>
    </row>
    <row r="24" spans="1:9" x14ac:dyDescent="0.25">
      <c r="A24" s="219"/>
      <c r="B24" s="2" t="s">
        <v>17</v>
      </c>
      <c r="C24" s="2">
        <f>Грунт!E19</f>
        <v>42.1</v>
      </c>
      <c r="D24" s="34">
        <f>Грунт!Q19</f>
        <v>3</v>
      </c>
      <c r="E24" s="22">
        <f>Щебень!G23</f>
        <v>1.6200000000000006</v>
      </c>
      <c r="F24" s="22">
        <f>Подб_Роств!G23</f>
        <v>1.2720000000000002</v>
      </c>
      <c r="G24" s="22">
        <f>Ростверки!G23</f>
        <v>2.6999999999999997</v>
      </c>
      <c r="H24" s="22">
        <f>(2.1+3.4)/2*0.8*C24</f>
        <v>92.62</v>
      </c>
      <c r="I24" s="22">
        <f t="shared" si="10"/>
        <v>87.027999999999992</v>
      </c>
    </row>
    <row r="25" spans="1:9" x14ac:dyDescent="0.25">
      <c r="A25" s="19"/>
      <c r="B25" s="63" t="s">
        <v>58</v>
      </c>
      <c r="C25" s="64">
        <f>SUM(C21:C24)</f>
        <v>118.4</v>
      </c>
      <c r="D25" s="64">
        <f>SUM(D21:D24)</f>
        <v>12</v>
      </c>
      <c r="E25" s="65">
        <f t="shared" ref="E25:I25" si="11">SUM(E21:E24)</f>
        <v>6.4800000000000022</v>
      </c>
      <c r="F25" s="65">
        <f t="shared" si="11"/>
        <v>3.1440000000000006</v>
      </c>
      <c r="G25" s="65">
        <f t="shared" si="11"/>
        <v>8.532</v>
      </c>
      <c r="H25" s="65">
        <f t="shared" si="11"/>
        <v>260.48</v>
      </c>
      <c r="I25" s="65">
        <f t="shared" si="11"/>
        <v>242.32400000000001</v>
      </c>
    </row>
    <row r="26" spans="1:9" x14ac:dyDescent="0.25">
      <c r="A26" s="27"/>
      <c r="B26" s="26"/>
      <c r="C26" s="27"/>
      <c r="D26" s="28"/>
      <c r="E26" s="28"/>
      <c r="F26" s="28"/>
      <c r="G26" s="28"/>
      <c r="H26" s="28"/>
      <c r="I26" s="28"/>
    </row>
    <row r="27" spans="1:9" x14ac:dyDescent="0.25">
      <c r="A27" s="216" t="s">
        <v>51</v>
      </c>
      <c r="B27" s="217"/>
      <c r="C27" s="217"/>
      <c r="D27" s="217"/>
      <c r="E27" s="217"/>
      <c r="F27" s="217"/>
      <c r="G27" s="217"/>
      <c r="H27" s="217"/>
      <c r="I27" s="218"/>
    </row>
    <row r="28" spans="1:9" x14ac:dyDescent="0.25">
      <c r="A28" s="19"/>
      <c r="B28" s="9"/>
      <c r="C28" s="9"/>
      <c r="D28" s="59" t="s">
        <v>21</v>
      </c>
      <c r="E28" s="59" t="s">
        <v>26</v>
      </c>
      <c r="F28" s="59" t="s">
        <v>29</v>
      </c>
      <c r="G28" s="59" t="s">
        <v>27</v>
      </c>
      <c r="H28" s="205" t="s">
        <v>28</v>
      </c>
      <c r="I28" s="205"/>
    </row>
    <row r="29" spans="1:9" ht="26.1" customHeight="1" x14ac:dyDescent="0.25">
      <c r="A29" s="61"/>
      <c r="B29" s="61"/>
      <c r="C29" s="61"/>
      <c r="D29" s="60" t="s">
        <v>31</v>
      </c>
      <c r="E29" s="60" t="s">
        <v>34</v>
      </c>
      <c r="F29" s="60" t="s">
        <v>35</v>
      </c>
      <c r="G29" s="7" t="s">
        <v>38</v>
      </c>
      <c r="H29" s="7" t="s">
        <v>37</v>
      </c>
      <c r="I29" s="7" t="s">
        <v>15</v>
      </c>
    </row>
    <row r="30" spans="1:9" ht="26.1" customHeight="1" x14ac:dyDescent="0.25">
      <c r="A30" s="2" t="s">
        <v>19</v>
      </c>
      <c r="B30" s="61" t="s">
        <v>39</v>
      </c>
      <c r="C30" s="41" t="s">
        <v>7</v>
      </c>
      <c r="D30" s="59"/>
      <c r="E30" s="41" t="s">
        <v>25</v>
      </c>
      <c r="F30" s="41" t="s">
        <v>23</v>
      </c>
      <c r="G30" s="59" t="s">
        <v>46</v>
      </c>
      <c r="H30" s="59" t="s">
        <v>55</v>
      </c>
      <c r="I30" s="59" t="s">
        <v>36</v>
      </c>
    </row>
    <row r="31" spans="1:9" x14ac:dyDescent="0.25">
      <c r="A31" s="219">
        <v>4</v>
      </c>
      <c r="B31" s="2" t="s">
        <v>5</v>
      </c>
      <c r="C31" s="2">
        <f>Грунт!E24</f>
        <v>80</v>
      </c>
      <c r="D31" s="34">
        <f>Грунт!Q24</f>
        <v>13</v>
      </c>
      <c r="E31" s="22">
        <f>Щебень!G32</f>
        <v>7.0200000000000022</v>
      </c>
      <c r="F31" s="22">
        <f>Подб_Роств!G32</f>
        <v>2.7040000000000002</v>
      </c>
      <c r="G31" s="22">
        <f>Ростверки!G32</f>
        <v>8.4239999999999995</v>
      </c>
      <c r="H31" s="22">
        <f>(2.1+3.4)/2*0.8*C31</f>
        <v>176</v>
      </c>
      <c r="I31" s="22">
        <f t="shared" ref="I31:I33" si="12">H31-G31-F31-E31</f>
        <v>157.85199999999998</v>
      </c>
    </row>
    <row r="32" spans="1:9" x14ac:dyDescent="0.25">
      <c r="A32" s="219"/>
      <c r="B32" s="2" t="s">
        <v>13</v>
      </c>
      <c r="C32" s="2">
        <f>Грунт!E25</f>
        <v>23.3</v>
      </c>
      <c r="D32" s="34">
        <f>Грунт!Q25</f>
        <v>3</v>
      </c>
      <c r="E32" s="22">
        <f>Щебень!G33</f>
        <v>1.6200000000000006</v>
      </c>
      <c r="F32" s="22">
        <f>Подб_Роств!G33</f>
        <v>0.62400000000000011</v>
      </c>
      <c r="G32" s="22">
        <f>Ростверки!G33</f>
        <v>1.944</v>
      </c>
      <c r="H32" s="22">
        <f>(2.1+3.4)/2*0.8*C32</f>
        <v>51.260000000000005</v>
      </c>
      <c r="I32" s="22">
        <f t="shared" si="12"/>
        <v>47.072000000000003</v>
      </c>
    </row>
    <row r="33" spans="1:9" x14ac:dyDescent="0.25">
      <c r="A33" s="219"/>
      <c r="B33" s="2" t="s">
        <v>16</v>
      </c>
      <c r="C33" s="2">
        <f>Грунт!E26</f>
        <v>58.5</v>
      </c>
      <c r="D33" s="34">
        <f>Грунт!Q26</f>
        <v>13</v>
      </c>
      <c r="E33" s="22">
        <f>Щебень!G34</f>
        <v>7.0200000000000022</v>
      </c>
      <c r="F33" s="22">
        <f>Подб_Роств!G34</f>
        <v>2.7040000000000002</v>
      </c>
      <c r="G33" s="22">
        <f>Ростверки!G34</f>
        <v>8.4239999999999995</v>
      </c>
      <c r="H33" s="22">
        <f>(2.1+3.4)/2*0.8*C33</f>
        <v>128.70000000000002</v>
      </c>
      <c r="I33" s="22">
        <f t="shared" si="12"/>
        <v>110.55200000000002</v>
      </c>
    </row>
    <row r="34" spans="1:9" x14ac:dyDescent="0.25">
      <c r="A34" s="19"/>
      <c r="B34" s="63" t="s">
        <v>58</v>
      </c>
      <c r="C34" s="64">
        <f>SUM(C31:C33)</f>
        <v>161.80000000000001</v>
      </c>
      <c r="D34" s="64">
        <f>SUM(D31:D33)</f>
        <v>29</v>
      </c>
      <c r="E34" s="65">
        <f t="shared" ref="E34:I34" si="13">SUM(E31:E33)</f>
        <v>15.660000000000004</v>
      </c>
      <c r="F34" s="65">
        <f t="shared" si="13"/>
        <v>6.032</v>
      </c>
      <c r="G34" s="65">
        <f t="shared" si="13"/>
        <v>18.791999999999998</v>
      </c>
      <c r="H34" s="65">
        <f t="shared" si="13"/>
        <v>355.96000000000004</v>
      </c>
      <c r="I34" s="65">
        <f t="shared" si="13"/>
        <v>315.476</v>
      </c>
    </row>
    <row r="35" spans="1:9" ht="15.75" thickBot="1" x14ac:dyDescent="0.3">
      <c r="A35" s="29"/>
      <c r="B35" s="29"/>
      <c r="C35" s="29"/>
      <c r="D35" s="28"/>
      <c r="E35" s="28"/>
      <c r="F35" s="28"/>
      <c r="G35" s="28"/>
      <c r="H35" s="28"/>
      <c r="I35" s="28"/>
    </row>
    <row r="36" spans="1:9" ht="15.75" thickBot="1" x14ac:dyDescent="0.3">
      <c r="A36" s="29"/>
      <c r="B36" s="29"/>
      <c r="C36" s="30">
        <f>C34+C25+C15+C7</f>
        <v>408.1</v>
      </c>
      <c r="D36" s="30">
        <f>D34+D25+D15+D7</f>
        <v>60</v>
      </c>
      <c r="E36" s="32">
        <f t="shared" ref="E36:I36" si="14">E34+E25+E15+E7</f>
        <v>32.400000000000013</v>
      </c>
      <c r="F36" s="32">
        <f t="shared" si="14"/>
        <v>13.128</v>
      </c>
      <c r="G36" s="32">
        <f t="shared" si="14"/>
        <v>39.636000000000003</v>
      </c>
      <c r="H36" s="32">
        <f t="shared" si="14"/>
        <v>897.82</v>
      </c>
      <c r="I36" s="32">
        <f t="shared" si="14"/>
        <v>812.65600000000006</v>
      </c>
    </row>
  </sheetData>
  <mergeCells count="12">
    <mergeCell ref="A31:A33"/>
    <mergeCell ref="H2:I2"/>
    <mergeCell ref="H18:I18"/>
    <mergeCell ref="A27:I27"/>
    <mergeCell ref="H28:I28"/>
    <mergeCell ref="A21:A24"/>
    <mergeCell ref="A1:I1"/>
    <mergeCell ref="A9:I9"/>
    <mergeCell ref="H10:I10"/>
    <mergeCell ref="A17:I17"/>
    <mergeCell ref="A5:A6"/>
    <mergeCell ref="A13:A14"/>
  </mergeCells>
  <pageMargins left="0.70866141732283472" right="0.70866141732283472" top="0.74803149606299213" bottom="0.74803149606299213" header="0.31496062992125984" footer="0.31496062992125984"/>
  <pageSetup paperSize="9" scale="45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29"/>
  <sheetViews>
    <sheetView tabSelected="1" zoomScaleNormal="100" workbookViewId="0">
      <selection activeCell="A21" sqref="A21:H21"/>
    </sheetView>
  </sheetViews>
  <sheetFormatPr defaultRowHeight="15" x14ac:dyDescent="0.25"/>
  <cols>
    <col min="1" max="1" width="10" customWidth="1"/>
    <col min="2" max="2" width="21.42578125" customWidth="1"/>
    <col min="3" max="3" width="7" customWidth="1"/>
    <col min="4" max="4" width="14" customWidth="1"/>
    <col min="5" max="6" width="10.42578125" customWidth="1"/>
    <col min="7" max="7" width="22.7109375" customWidth="1"/>
    <col min="8" max="8" width="9.5703125" customWidth="1"/>
  </cols>
  <sheetData>
    <row r="1" spans="1:8" x14ac:dyDescent="0.25">
      <c r="A1" s="207" t="s">
        <v>135</v>
      </c>
      <c r="B1" s="207"/>
      <c r="C1" s="207"/>
      <c r="D1" s="207"/>
      <c r="E1" s="207"/>
      <c r="F1" s="207"/>
      <c r="G1" s="207"/>
      <c r="H1" s="207"/>
    </row>
    <row r="2" spans="1:8" ht="25.5" x14ac:dyDescent="0.25">
      <c r="A2" s="6"/>
      <c r="B2" s="5"/>
      <c r="C2" s="6"/>
      <c r="D2" s="6"/>
      <c r="E2" s="6" t="s">
        <v>41</v>
      </c>
      <c r="F2" s="6" t="s">
        <v>24</v>
      </c>
      <c r="G2" s="6" t="s">
        <v>18</v>
      </c>
      <c r="H2" s="6" t="s">
        <v>2</v>
      </c>
    </row>
    <row r="3" spans="1:8" ht="25.5" x14ac:dyDescent="0.25">
      <c r="A3" s="6" t="s">
        <v>19</v>
      </c>
      <c r="B3" s="5" t="s">
        <v>0</v>
      </c>
      <c r="C3" s="6" t="s">
        <v>1</v>
      </c>
      <c r="D3" s="6" t="s">
        <v>39</v>
      </c>
      <c r="E3" s="6" t="s">
        <v>42</v>
      </c>
      <c r="F3" s="6" t="s">
        <v>22</v>
      </c>
      <c r="G3" s="6" t="s">
        <v>43</v>
      </c>
      <c r="H3" s="6"/>
    </row>
    <row r="4" spans="1:8" x14ac:dyDescent="0.25">
      <c r="A4" s="198">
        <v>1</v>
      </c>
      <c r="B4" s="209" t="s">
        <v>20</v>
      </c>
      <c r="C4" s="2" t="s">
        <v>3</v>
      </c>
      <c r="D4" s="2" t="s">
        <v>5</v>
      </c>
      <c r="E4" s="2">
        <f>Грунт!E4</f>
        <v>17.5</v>
      </c>
      <c r="F4" s="6">
        <f>Грунт!Q4</f>
        <v>5</v>
      </c>
      <c r="G4" s="10">
        <f>(1.5*E4-0.9*1.2*F4)*0.1</f>
        <v>2.0850000000000004</v>
      </c>
      <c r="H4" s="208">
        <f>SUM(G4:G5)</f>
        <v>6.8580000000000005</v>
      </c>
    </row>
    <row r="5" spans="1:8" x14ac:dyDescent="0.25">
      <c r="A5" s="198"/>
      <c r="B5" s="209"/>
      <c r="C5" s="2" t="s">
        <v>3</v>
      </c>
      <c r="D5" s="2" t="s">
        <v>13</v>
      </c>
      <c r="E5" s="2">
        <f>Грунт!E5</f>
        <v>34.700000000000003</v>
      </c>
      <c r="F5" s="50">
        <f>Грунт!Q5</f>
        <v>4</v>
      </c>
      <c r="G5" s="10">
        <f>(1.5*E5-0.9*1.2*F5)*0.1</f>
        <v>4.7730000000000006</v>
      </c>
      <c r="H5" s="208"/>
    </row>
    <row r="6" spans="1:8" x14ac:dyDescent="0.25">
      <c r="A6" s="9"/>
      <c r="B6" s="9"/>
      <c r="C6" s="9"/>
      <c r="D6" s="9"/>
      <c r="E6" s="19"/>
      <c r="F6" s="11"/>
      <c r="G6" s="9"/>
      <c r="H6" s="9"/>
    </row>
    <row r="7" spans="1:8" ht="15" customHeight="1" x14ac:dyDescent="0.25">
      <c r="A7" s="207" t="s">
        <v>135</v>
      </c>
      <c r="B7" s="207"/>
      <c r="C7" s="207"/>
      <c r="D7" s="207"/>
      <c r="E7" s="207"/>
      <c r="F7" s="207"/>
      <c r="G7" s="207"/>
      <c r="H7" s="207"/>
    </row>
    <row r="8" spans="1:8" ht="25.5" x14ac:dyDescent="0.25">
      <c r="A8" s="40"/>
      <c r="B8" s="5"/>
      <c r="C8" s="40"/>
      <c r="D8" s="40"/>
      <c r="E8" s="40" t="s">
        <v>41</v>
      </c>
      <c r="F8" s="40" t="s">
        <v>24</v>
      </c>
      <c r="G8" s="40" t="s">
        <v>18</v>
      </c>
      <c r="H8" s="40" t="s">
        <v>2</v>
      </c>
    </row>
    <row r="9" spans="1:8" ht="25.5" x14ac:dyDescent="0.25">
      <c r="A9" s="40" t="s">
        <v>19</v>
      </c>
      <c r="B9" s="5" t="s">
        <v>0</v>
      </c>
      <c r="C9" s="40" t="s">
        <v>1</v>
      </c>
      <c r="D9" s="40" t="s">
        <v>39</v>
      </c>
      <c r="E9" s="40" t="s">
        <v>42</v>
      </c>
      <c r="F9" s="40" t="s">
        <v>22</v>
      </c>
      <c r="G9" s="40" t="s">
        <v>43</v>
      </c>
      <c r="H9" s="40"/>
    </row>
    <row r="10" spans="1:8" x14ac:dyDescent="0.25">
      <c r="A10" s="198">
        <v>2</v>
      </c>
      <c r="B10" s="209" t="s">
        <v>20</v>
      </c>
      <c r="C10" s="2" t="s">
        <v>3</v>
      </c>
      <c r="D10" s="2" t="s">
        <v>5</v>
      </c>
      <c r="E10" s="2">
        <f>Грунт!E10</f>
        <v>54.2</v>
      </c>
      <c r="F10" s="6">
        <f>Грунт!Q10</f>
        <v>4</v>
      </c>
      <c r="G10" s="10">
        <f>(1.5*E10-0.9*1.2*F10)*0.1</f>
        <v>7.6980000000000022</v>
      </c>
      <c r="H10" s="208">
        <f>SUM(G10:G11)</f>
        <v>10.275000000000002</v>
      </c>
    </row>
    <row r="11" spans="1:8" x14ac:dyDescent="0.25">
      <c r="A11" s="198"/>
      <c r="B11" s="209"/>
      <c r="C11" s="2" t="s">
        <v>3</v>
      </c>
      <c r="D11" s="2" t="s">
        <v>13</v>
      </c>
      <c r="E11" s="2">
        <f>Грунт!E11</f>
        <v>21.5</v>
      </c>
      <c r="F11" s="50">
        <f>Грунт!Q11</f>
        <v>6</v>
      </c>
      <c r="G11" s="10">
        <f t="shared" ref="G11" si="0">(1.5*E11-0.9*1.2*F11)*0.1</f>
        <v>2.577</v>
      </c>
      <c r="H11" s="208"/>
    </row>
    <row r="12" spans="1:8" x14ac:dyDescent="0.25">
      <c r="A12" s="9"/>
      <c r="B12" s="9"/>
      <c r="C12" s="9"/>
      <c r="D12" s="9"/>
      <c r="E12" s="2"/>
      <c r="F12" s="11"/>
      <c r="G12" s="9"/>
      <c r="H12" s="9"/>
    </row>
    <row r="13" spans="1:8" ht="15" customHeight="1" x14ac:dyDescent="0.25">
      <c r="A13" s="207" t="s">
        <v>135</v>
      </c>
      <c r="B13" s="207"/>
      <c r="C13" s="207"/>
      <c r="D13" s="207"/>
      <c r="E13" s="207"/>
      <c r="F13" s="207"/>
      <c r="G13" s="207"/>
      <c r="H13" s="207"/>
    </row>
    <row r="14" spans="1:8" ht="25.5" x14ac:dyDescent="0.25">
      <c r="A14" s="40"/>
      <c r="B14" s="5"/>
      <c r="C14" s="40"/>
      <c r="D14" s="40"/>
      <c r="E14" s="40" t="s">
        <v>41</v>
      </c>
      <c r="F14" s="40" t="s">
        <v>24</v>
      </c>
      <c r="G14" s="40" t="s">
        <v>18</v>
      </c>
      <c r="H14" s="40" t="s">
        <v>2</v>
      </c>
    </row>
    <row r="15" spans="1:8" ht="25.5" x14ac:dyDescent="0.25">
      <c r="A15" s="40" t="s">
        <v>19</v>
      </c>
      <c r="B15" s="5" t="s">
        <v>0</v>
      </c>
      <c r="C15" s="40" t="s">
        <v>1</v>
      </c>
      <c r="D15" s="40" t="s">
        <v>39</v>
      </c>
      <c r="E15" s="40" t="s">
        <v>42</v>
      </c>
      <c r="F15" s="40" t="s">
        <v>22</v>
      </c>
      <c r="G15" s="40" t="s">
        <v>43</v>
      </c>
      <c r="H15" s="40"/>
    </row>
    <row r="16" spans="1:8" x14ac:dyDescent="0.25">
      <c r="A16" s="198">
        <v>3</v>
      </c>
      <c r="B16" s="209" t="s">
        <v>20</v>
      </c>
      <c r="C16" s="2" t="s">
        <v>3</v>
      </c>
      <c r="D16" s="2" t="s">
        <v>5</v>
      </c>
      <c r="E16" s="2">
        <f>Грунт!E16</f>
        <v>42.9</v>
      </c>
      <c r="F16" s="6">
        <f>Грунт!Q16</f>
        <v>3</v>
      </c>
      <c r="G16" s="10">
        <f>(1.5*E16-0.9*1.2*F16)*0.1</f>
        <v>6.1109999999999998</v>
      </c>
      <c r="H16" s="208">
        <f>SUM(G16:G19)</f>
        <v>16.463999999999999</v>
      </c>
    </row>
    <row r="17" spans="1:8" x14ac:dyDescent="0.25">
      <c r="A17" s="198"/>
      <c r="B17" s="209"/>
      <c r="C17" s="2" t="s">
        <v>3</v>
      </c>
      <c r="D17" s="2" t="s">
        <v>13</v>
      </c>
      <c r="E17" s="2">
        <f>Грунт!E17</f>
        <v>20.9</v>
      </c>
      <c r="F17" s="50">
        <f>Грунт!Q17</f>
        <v>6</v>
      </c>
      <c r="G17" s="10">
        <f t="shared" ref="G17:G26" si="1">(1.5*E17-0.9*1.2*F17)*0.1</f>
        <v>2.4870000000000001</v>
      </c>
      <c r="H17" s="208"/>
    </row>
    <row r="18" spans="1:8" x14ac:dyDescent="0.25">
      <c r="A18" s="198"/>
      <c r="B18" s="209"/>
      <c r="C18" s="2" t="s">
        <v>3</v>
      </c>
      <c r="D18" s="2" t="s">
        <v>16</v>
      </c>
      <c r="E18" s="2">
        <f>Грунт!E18</f>
        <v>12.5</v>
      </c>
      <c r="F18" s="50">
        <f>Грунт!Q18</f>
        <v>0</v>
      </c>
      <c r="G18" s="10">
        <f t="shared" si="1"/>
        <v>1.875</v>
      </c>
      <c r="H18" s="208"/>
    </row>
    <row r="19" spans="1:8" x14ac:dyDescent="0.25">
      <c r="A19" s="198"/>
      <c r="B19" s="209"/>
      <c r="C19" s="2" t="s">
        <v>3</v>
      </c>
      <c r="D19" s="2" t="s">
        <v>17</v>
      </c>
      <c r="E19" s="2">
        <f>Грунт!E19</f>
        <v>42.1</v>
      </c>
      <c r="F19" s="50">
        <f>Грунт!Q19</f>
        <v>3</v>
      </c>
      <c r="G19" s="10">
        <f t="shared" si="1"/>
        <v>5.9910000000000005</v>
      </c>
      <c r="H19" s="208"/>
    </row>
    <row r="20" spans="1:8" x14ac:dyDescent="0.25">
      <c r="A20" s="9"/>
      <c r="B20" s="9"/>
      <c r="C20" s="9"/>
      <c r="D20" s="9"/>
      <c r="E20" s="2"/>
      <c r="F20" s="11"/>
      <c r="G20" s="9"/>
      <c r="H20" s="9"/>
    </row>
    <row r="21" spans="1:8" x14ac:dyDescent="0.25">
      <c r="A21" s="207" t="s">
        <v>136</v>
      </c>
      <c r="B21" s="207"/>
      <c r="C21" s="207"/>
      <c r="D21" s="207"/>
      <c r="E21" s="207"/>
      <c r="F21" s="207"/>
      <c r="G21" s="207"/>
      <c r="H21" s="207"/>
    </row>
    <row r="22" spans="1:8" ht="25.5" x14ac:dyDescent="0.25">
      <c r="A22" s="40"/>
      <c r="B22" s="5"/>
      <c r="C22" s="40"/>
      <c r="D22" s="40"/>
      <c r="E22" s="40" t="s">
        <v>41</v>
      </c>
      <c r="F22" s="40" t="s">
        <v>24</v>
      </c>
      <c r="G22" s="40" t="s">
        <v>18</v>
      </c>
      <c r="H22" s="40" t="s">
        <v>2</v>
      </c>
    </row>
    <row r="23" spans="1:8" ht="25.5" x14ac:dyDescent="0.25">
      <c r="A23" s="40" t="s">
        <v>19</v>
      </c>
      <c r="B23" s="5" t="s">
        <v>0</v>
      </c>
      <c r="C23" s="40" t="s">
        <v>1</v>
      </c>
      <c r="D23" s="40" t="s">
        <v>39</v>
      </c>
      <c r="E23" s="40" t="s">
        <v>42</v>
      </c>
      <c r="F23" s="40" t="s">
        <v>22</v>
      </c>
      <c r="G23" s="40" t="s">
        <v>43</v>
      </c>
      <c r="H23" s="40"/>
    </row>
    <row r="24" spans="1:8" x14ac:dyDescent="0.25">
      <c r="A24" s="198">
        <v>4</v>
      </c>
      <c r="B24" s="209" t="s">
        <v>20</v>
      </c>
      <c r="C24" s="2" t="s">
        <v>3</v>
      </c>
      <c r="D24" s="2" t="s">
        <v>5</v>
      </c>
      <c r="E24" s="2">
        <f>Грунт!E24</f>
        <v>80</v>
      </c>
      <c r="F24" s="6">
        <f>Грунт!Q24</f>
        <v>13</v>
      </c>
      <c r="G24" s="10">
        <f t="shared" si="1"/>
        <v>10.596</v>
      </c>
      <c r="H24" s="208">
        <f>SUM(G24:G26)</f>
        <v>21.137999999999998</v>
      </c>
    </row>
    <row r="25" spans="1:8" x14ac:dyDescent="0.25">
      <c r="A25" s="198"/>
      <c r="B25" s="209"/>
      <c r="C25" s="2" t="s">
        <v>3</v>
      </c>
      <c r="D25" s="2" t="s">
        <v>13</v>
      </c>
      <c r="E25" s="2">
        <f>Грунт!E25</f>
        <v>23.3</v>
      </c>
      <c r="F25" s="50">
        <f>Грунт!Q25</f>
        <v>3</v>
      </c>
      <c r="G25" s="10">
        <f t="shared" si="1"/>
        <v>3.1710000000000003</v>
      </c>
      <c r="H25" s="208"/>
    </row>
    <row r="26" spans="1:8" x14ac:dyDescent="0.25">
      <c r="A26" s="198"/>
      <c r="B26" s="209"/>
      <c r="C26" s="2" t="s">
        <v>3</v>
      </c>
      <c r="D26" s="2" t="s">
        <v>16</v>
      </c>
      <c r="E26" s="2">
        <f>Грунт!E26</f>
        <v>58.5</v>
      </c>
      <c r="F26" s="50">
        <f>Грунт!Q26</f>
        <v>13</v>
      </c>
      <c r="G26" s="10">
        <f t="shared" si="1"/>
        <v>7.3709999999999996</v>
      </c>
      <c r="H26" s="208"/>
    </row>
    <row r="27" spans="1:8" ht="15.75" thickBot="1" x14ac:dyDescent="0.3">
      <c r="E27" s="36"/>
    </row>
    <row r="28" spans="1:8" ht="15.75" thickBot="1" x14ac:dyDescent="0.3">
      <c r="E28" s="8">
        <f>SUM(E4:E26)</f>
        <v>408.1</v>
      </c>
      <c r="F28" s="12">
        <f>SUM(F4:F26)</f>
        <v>60</v>
      </c>
      <c r="H28" s="8">
        <f>SUM(H4:H26)</f>
        <v>54.734999999999999</v>
      </c>
    </row>
    <row r="29" spans="1:8" x14ac:dyDescent="0.25">
      <c r="E29" s="36"/>
      <c r="F29" s="36"/>
    </row>
  </sheetData>
  <mergeCells count="16">
    <mergeCell ref="A24:A26"/>
    <mergeCell ref="B24:B26"/>
    <mergeCell ref="H24:H26"/>
    <mergeCell ref="A13:H13"/>
    <mergeCell ref="A21:H21"/>
    <mergeCell ref="A16:A19"/>
    <mergeCell ref="B16:B19"/>
    <mergeCell ref="H16:H19"/>
    <mergeCell ref="A1:H1"/>
    <mergeCell ref="A4:A5"/>
    <mergeCell ref="B4:B5"/>
    <mergeCell ref="H4:H5"/>
    <mergeCell ref="A10:A11"/>
    <mergeCell ref="B10:B11"/>
    <mergeCell ref="H10:H11"/>
    <mergeCell ref="A7:H7"/>
  </mergeCells>
  <pageMargins left="0.70866141732283472" right="0.70866141732283472" top="0.74803149606299213" bottom="0.74803149606299213" header="0.31496062992125984" footer="0.31496062992125984"/>
  <pageSetup paperSize="9" scale="77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29"/>
  <sheetViews>
    <sheetView zoomScaleNormal="100" workbookViewId="0">
      <selection activeCell="F17" sqref="F17"/>
    </sheetView>
  </sheetViews>
  <sheetFormatPr defaultRowHeight="15" x14ac:dyDescent="0.25"/>
  <cols>
    <col min="1" max="1" width="9.28515625" customWidth="1"/>
    <col min="2" max="2" width="23.28515625" customWidth="1"/>
    <col min="3" max="3" width="7" customWidth="1"/>
    <col min="4" max="4" width="14" customWidth="1"/>
    <col min="5" max="5" width="10.42578125" customWidth="1"/>
    <col min="6" max="6" width="22.7109375" customWidth="1"/>
    <col min="7" max="7" width="11" customWidth="1"/>
  </cols>
  <sheetData>
    <row r="1" spans="1:7" x14ac:dyDescent="0.25">
      <c r="A1" s="207" t="s">
        <v>128</v>
      </c>
      <c r="B1" s="207"/>
      <c r="C1" s="207"/>
      <c r="D1" s="207"/>
      <c r="E1" s="207"/>
      <c r="F1" s="207"/>
      <c r="G1" s="207"/>
    </row>
    <row r="2" spans="1:7" ht="25.5" x14ac:dyDescent="0.25">
      <c r="A2" s="6"/>
      <c r="B2" s="5"/>
      <c r="C2" s="6"/>
      <c r="D2" s="6"/>
      <c r="E2" s="6" t="s">
        <v>41</v>
      </c>
      <c r="F2" s="6" t="s">
        <v>18</v>
      </c>
      <c r="G2" s="6" t="s">
        <v>2</v>
      </c>
    </row>
    <row r="3" spans="1:7" ht="25.5" x14ac:dyDescent="0.25">
      <c r="A3" s="6" t="s">
        <v>19</v>
      </c>
      <c r="B3" s="5" t="s">
        <v>0</v>
      </c>
      <c r="C3" s="6" t="s">
        <v>1</v>
      </c>
      <c r="D3" s="6" t="s">
        <v>39</v>
      </c>
      <c r="E3" s="6" t="s">
        <v>42</v>
      </c>
      <c r="F3" s="6" t="s">
        <v>44</v>
      </c>
      <c r="G3" s="6"/>
    </row>
    <row r="4" spans="1:7" x14ac:dyDescent="0.25">
      <c r="A4" s="198">
        <v>1</v>
      </c>
      <c r="B4" s="209" t="s">
        <v>45</v>
      </c>
      <c r="C4" s="2" t="s">
        <v>3</v>
      </c>
      <c r="D4" s="2" t="s">
        <v>5</v>
      </c>
      <c r="E4" s="2">
        <f>Грунт!E4</f>
        <v>17.5</v>
      </c>
      <c r="F4" s="10">
        <f>0.9*0.3*E4</f>
        <v>4.7250000000000005</v>
      </c>
      <c r="G4" s="208">
        <f>SUM(F4:F5)</f>
        <v>14.094000000000001</v>
      </c>
    </row>
    <row r="5" spans="1:7" x14ac:dyDescent="0.25">
      <c r="A5" s="198"/>
      <c r="B5" s="209"/>
      <c r="C5" s="2" t="s">
        <v>3</v>
      </c>
      <c r="D5" s="2" t="s">
        <v>13</v>
      </c>
      <c r="E5" s="2">
        <v>34.700000000000003</v>
      </c>
      <c r="F5" s="10">
        <f>0.9*0.3*E5</f>
        <v>9.3690000000000015</v>
      </c>
      <c r="G5" s="208"/>
    </row>
    <row r="6" spans="1:7" x14ac:dyDescent="0.25">
      <c r="A6" s="9"/>
      <c r="B6" s="9"/>
      <c r="C6" s="9"/>
      <c r="D6" s="9"/>
      <c r="E6" s="19"/>
      <c r="F6" s="9"/>
      <c r="G6" s="9"/>
    </row>
    <row r="7" spans="1:7" x14ac:dyDescent="0.25">
      <c r="A7" s="207" t="s">
        <v>128</v>
      </c>
      <c r="B7" s="207"/>
      <c r="C7" s="207"/>
      <c r="D7" s="207"/>
      <c r="E7" s="207"/>
      <c r="F7" s="207"/>
      <c r="G7" s="207"/>
    </row>
    <row r="8" spans="1:7" ht="25.5" x14ac:dyDescent="0.25">
      <c r="A8" s="40"/>
      <c r="B8" s="5"/>
      <c r="C8" s="40"/>
      <c r="D8" s="40"/>
      <c r="E8" s="40" t="s">
        <v>41</v>
      </c>
      <c r="F8" s="40" t="s">
        <v>18</v>
      </c>
      <c r="G8" s="40" t="s">
        <v>2</v>
      </c>
    </row>
    <row r="9" spans="1:7" ht="25.5" x14ac:dyDescent="0.25">
      <c r="A9" s="40" t="s">
        <v>19</v>
      </c>
      <c r="B9" s="5" t="s">
        <v>0</v>
      </c>
      <c r="C9" s="40" t="s">
        <v>1</v>
      </c>
      <c r="D9" s="40" t="s">
        <v>39</v>
      </c>
      <c r="E9" s="40" t="s">
        <v>42</v>
      </c>
      <c r="F9" s="40" t="s">
        <v>44</v>
      </c>
      <c r="G9" s="40"/>
    </row>
    <row r="10" spans="1:7" x14ac:dyDescent="0.25">
      <c r="A10" s="198">
        <v>2</v>
      </c>
      <c r="B10" s="209" t="s">
        <v>45</v>
      </c>
      <c r="C10" s="2" t="s">
        <v>3</v>
      </c>
      <c r="D10" s="2" t="s">
        <v>5</v>
      </c>
      <c r="E10" s="2">
        <f>Грунт!E10</f>
        <v>54.2</v>
      </c>
      <c r="F10" s="10">
        <f>0.9*0.3*E10</f>
        <v>14.634000000000002</v>
      </c>
      <c r="G10" s="208">
        <f>SUM(F10:F11)</f>
        <v>20.439000000000004</v>
      </c>
    </row>
    <row r="11" spans="1:7" x14ac:dyDescent="0.25">
      <c r="A11" s="198"/>
      <c r="B11" s="209"/>
      <c r="C11" s="2" t="s">
        <v>3</v>
      </c>
      <c r="D11" s="2" t="s">
        <v>13</v>
      </c>
      <c r="E11" s="2">
        <f>Грунт!E11</f>
        <v>21.5</v>
      </c>
      <c r="F11" s="10">
        <f t="shared" ref="F11:F26" si="0">0.9*0.3*E11</f>
        <v>5.8050000000000006</v>
      </c>
      <c r="G11" s="208"/>
    </row>
    <row r="12" spans="1:7" x14ac:dyDescent="0.25">
      <c r="A12" s="9"/>
      <c r="B12" s="9"/>
      <c r="C12" s="9"/>
      <c r="D12" s="9"/>
      <c r="E12" s="2"/>
      <c r="F12" s="9"/>
      <c r="G12" s="9"/>
    </row>
    <row r="13" spans="1:7" x14ac:dyDescent="0.25">
      <c r="A13" s="207" t="s">
        <v>128</v>
      </c>
      <c r="B13" s="207"/>
      <c r="C13" s="207"/>
      <c r="D13" s="207"/>
      <c r="E13" s="207"/>
      <c r="F13" s="207"/>
      <c r="G13" s="207"/>
    </row>
    <row r="14" spans="1:7" ht="25.5" x14ac:dyDescent="0.25">
      <c r="A14" s="40"/>
      <c r="B14" s="5"/>
      <c r="C14" s="40"/>
      <c r="D14" s="40"/>
      <c r="E14" s="40" t="s">
        <v>41</v>
      </c>
      <c r="F14" s="40" t="s">
        <v>18</v>
      </c>
      <c r="G14" s="40" t="s">
        <v>2</v>
      </c>
    </row>
    <row r="15" spans="1:7" ht="25.5" x14ac:dyDescent="0.25">
      <c r="A15" s="40" t="s">
        <v>19</v>
      </c>
      <c r="B15" s="5" t="s">
        <v>0</v>
      </c>
      <c r="C15" s="40" t="s">
        <v>1</v>
      </c>
      <c r="D15" s="40" t="s">
        <v>39</v>
      </c>
      <c r="E15" s="40" t="s">
        <v>42</v>
      </c>
      <c r="F15" s="197" t="s">
        <v>44</v>
      </c>
      <c r="G15" s="40"/>
    </row>
    <row r="16" spans="1:7" x14ac:dyDescent="0.25">
      <c r="A16" s="198">
        <v>3</v>
      </c>
      <c r="B16" s="209" t="s">
        <v>45</v>
      </c>
      <c r="C16" s="2" t="s">
        <v>3</v>
      </c>
      <c r="D16" s="37" t="s">
        <v>5</v>
      </c>
      <c r="E16" s="2">
        <f>Грунт!E16</f>
        <v>42.9</v>
      </c>
      <c r="F16" s="10">
        <f t="shared" si="0"/>
        <v>11.583</v>
      </c>
      <c r="G16" s="208">
        <f>SUM(F16:F19)</f>
        <v>37.701000000000001</v>
      </c>
    </row>
    <row r="17" spans="1:7" x14ac:dyDescent="0.25">
      <c r="A17" s="198"/>
      <c r="B17" s="209"/>
      <c r="C17" s="2" t="s">
        <v>3</v>
      </c>
      <c r="D17" s="2" t="s">
        <v>13</v>
      </c>
      <c r="E17" s="2">
        <f>Грунт!E17</f>
        <v>20.9</v>
      </c>
      <c r="F17" s="10">
        <f t="shared" si="0"/>
        <v>5.6429999999999998</v>
      </c>
      <c r="G17" s="208"/>
    </row>
    <row r="18" spans="1:7" x14ac:dyDescent="0.25">
      <c r="A18" s="198"/>
      <c r="B18" s="209"/>
      <c r="C18" s="2" t="s">
        <v>3</v>
      </c>
      <c r="D18" s="2" t="s">
        <v>16</v>
      </c>
      <c r="E18" s="2">
        <f>Грунт!E18</f>
        <v>12.5</v>
      </c>
      <c r="F18" s="10">
        <f>1.25*0.3*E18</f>
        <v>4.6875</v>
      </c>
      <c r="G18" s="208"/>
    </row>
    <row r="19" spans="1:7" x14ac:dyDescent="0.25">
      <c r="A19" s="198"/>
      <c r="B19" s="209"/>
      <c r="C19" s="2" t="s">
        <v>3</v>
      </c>
      <c r="D19" s="2" t="s">
        <v>17</v>
      </c>
      <c r="E19" s="2">
        <f>Грунт!E19</f>
        <v>42.1</v>
      </c>
      <c r="F19" s="10">
        <f>1.25*0.3*E19</f>
        <v>15.787500000000001</v>
      </c>
      <c r="G19" s="208"/>
    </row>
    <row r="20" spans="1:7" x14ac:dyDescent="0.25">
      <c r="A20" s="9"/>
      <c r="B20" s="9"/>
      <c r="C20" s="9"/>
      <c r="D20" s="9"/>
      <c r="E20" s="2"/>
      <c r="F20" s="9"/>
      <c r="G20" s="9"/>
    </row>
    <row r="21" spans="1:7" x14ac:dyDescent="0.25">
      <c r="A21" s="207" t="s">
        <v>128</v>
      </c>
      <c r="B21" s="207"/>
      <c r="C21" s="207"/>
      <c r="D21" s="207"/>
      <c r="E21" s="207"/>
      <c r="F21" s="207"/>
      <c r="G21" s="207"/>
    </row>
    <row r="22" spans="1:7" ht="25.5" x14ac:dyDescent="0.25">
      <c r="A22" s="40"/>
      <c r="B22" s="5"/>
      <c r="C22" s="40"/>
      <c r="D22" s="40"/>
      <c r="E22" s="40" t="s">
        <v>41</v>
      </c>
      <c r="F22" s="40" t="s">
        <v>18</v>
      </c>
      <c r="G22" s="40" t="s">
        <v>2</v>
      </c>
    </row>
    <row r="23" spans="1:7" ht="25.5" x14ac:dyDescent="0.25">
      <c r="A23" s="40" t="s">
        <v>19</v>
      </c>
      <c r="B23" s="5" t="s">
        <v>0</v>
      </c>
      <c r="C23" s="40" t="s">
        <v>1</v>
      </c>
      <c r="D23" s="40" t="s">
        <v>39</v>
      </c>
      <c r="E23" s="40" t="s">
        <v>42</v>
      </c>
      <c r="F23" s="40" t="s">
        <v>44</v>
      </c>
      <c r="G23" s="40"/>
    </row>
    <row r="24" spans="1:7" x14ac:dyDescent="0.25">
      <c r="A24" s="198">
        <v>4</v>
      </c>
      <c r="B24" s="209" t="s">
        <v>45</v>
      </c>
      <c r="C24" s="2" t="s">
        <v>3</v>
      </c>
      <c r="D24" s="2" t="s">
        <v>5</v>
      </c>
      <c r="E24" s="2">
        <f>Грунт!E24</f>
        <v>80</v>
      </c>
      <c r="F24" s="10">
        <f t="shared" si="0"/>
        <v>21.6</v>
      </c>
      <c r="G24" s="208">
        <f>SUM(F24:F26)</f>
        <v>43.686000000000007</v>
      </c>
    </row>
    <row r="25" spans="1:7" x14ac:dyDescent="0.25">
      <c r="A25" s="198"/>
      <c r="B25" s="209"/>
      <c r="C25" s="2" t="s">
        <v>3</v>
      </c>
      <c r="D25" s="2" t="s">
        <v>13</v>
      </c>
      <c r="E25" s="2">
        <f>Грунт!E25</f>
        <v>23.3</v>
      </c>
      <c r="F25" s="10">
        <f t="shared" si="0"/>
        <v>6.2910000000000004</v>
      </c>
      <c r="G25" s="208"/>
    </row>
    <row r="26" spans="1:7" x14ac:dyDescent="0.25">
      <c r="A26" s="198"/>
      <c r="B26" s="209"/>
      <c r="C26" s="2" t="s">
        <v>3</v>
      </c>
      <c r="D26" s="2" t="s">
        <v>16</v>
      </c>
      <c r="E26" s="2">
        <f>Грунт!E26</f>
        <v>58.5</v>
      </c>
      <c r="F26" s="10">
        <f t="shared" si="0"/>
        <v>15.795000000000002</v>
      </c>
      <c r="G26" s="208"/>
    </row>
    <row r="27" spans="1:7" ht="15.75" thickBot="1" x14ac:dyDescent="0.3">
      <c r="E27" s="36"/>
    </row>
    <row r="28" spans="1:7" ht="15.75" thickBot="1" x14ac:dyDescent="0.3">
      <c r="E28" s="8">
        <f>SUM(E4:E26)</f>
        <v>408.1</v>
      </c>
      <c r="G28" s="8">
        <f>SUM(G4:G26)</f>
        <v>115.92000000000002</v>
      </c>
    </row>
    <row r="29" spans="1:7" x14ac:dyDescent="0.25">
      <c r="E29" s="36"/>
    </row>
  </sheetData>
  <mergeCells count="16">
    <mergeCell ref="A24:A26"/>
    <mergeCell ref="B24:B26"/>
    <mergeCell ref="G24:G26"/>
    <mergeCell ref="A13:G13"/>
    <mergeCell ref="A21:G21"/>
    <mergeCell ref="A16:A19"/>
    <mergeCell ref="B16:B19"/>
    <mergeCell ref="G16:G19"/>
    <mergeCell ref="A1:G1"/>
    <mergeCell ref="A4:A5"/>
    <mergeCell ref="B4:B5"/>
    <mergeCell ref="G4:G5"/>
    <mergeCell ref="A10:A11"/>
    <mergeCell ref="B10:B11"/>
    <mergeCell ref="G10:G11"/>
    <mergeCell ref="A7:G7"/>
  </mergeCells>
  <pageMargins left="0.70866141732283472" right="0.70866141732283472" top="0.74803149606299213" bottom="0.74803149606299213" header="0.31496062992125984" footer="0.31496062992125984"/>
  <pageSetup paperSize="9" scale="85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29"/>
  <sheetViews>
    <sheetView zoomScaleNormal="100" workbookViewId="0">
      <selection sqref="A1:G1"/>
    </sheetView>
  </sheetViews>
  <sheetFormatPr defaultRowHeight="15" x14ac:dyDescent="0.25"/>
  <cols>
    <col min="1" max="1" width="9.28515625" customWidth="1"/>
    <col min="2" max="2" width="23.28515625" customWidth="1"/>
    <col min="3" max="3" width="7" customWidth="1"/>
    <col min="4" max="4" width="14" customWidth="1"/>
    <col min="5" max="5" width="10.42578125" customWidth="1"/>
    <col min="6" max="6" width="22.7109375" customWidth="1"/>
    <col min="7" max="7" width="11" customWidth="1"/>
  </cols>
  <sheetData>
    <row r="1" spans="1:7" x14ac:dyDescent="0.25">
      <c r="A1" s="207" t="s">
        <v>127</v>
      </c>
      <c r="B1" s="207"/>
      <c r="C1" s="207"/>
      <c r="D1" s="207"/>
      <c r="E1" s="207"/>
      <c r="F1" s="207"/>
      <c r="G1" s="207"/>
    </row>
    <row r="2" spans="1:7" ht="25.5" x14ac:dyDescent="0.25">
      <c r="A2" s="197"/>
      <c r="B2" s="5"/>
      <c r="C2" s="197"/>
      <c r="D2" s="197"/>
      <c r="E2" s="197" t="s">
        <v>41</v>
      </c>
      <c r="F2" s="197" t="s">
        <v>131</v>
      </c>
      <c r="G2" s="197" t="s">
        <v>2</v>
      </c>
    </row>
    <row r="3" spans="1:7" ht="25.5" x14ac:dyDescent="0.25">
      <c r="A3" s="197" t="s">
        <v>19</v>
      </c>
      <c r="B3" s="5" t="s">
        <v>0</v>
      </c>
      <c r="C3" s="197" t="s">
        <v>1</v>
      </c>
      <c r="D3" s="197" t="s">
        <v>39</v>
      </c>
      <c r="E3" s="197" t="s">
        <v>42</v>
      </c>
      <c r="F3" s="197" t="s">
        <v>129</v>
      </c>
      <c r="G3" s="197"/>
    </row>
    <row r="4" spans="1:7" x14ac:dyDescent="0.25">
      <c r="A4" s="198">
        <v>1</v>
      </c>
      <c r="B4" s="209" t="s">
        <v>127</v>
      </c>
      <c r="C4" s="2" t="s">
        <v>3</v>
      </c>
      <c r="D4" s="2" t="s">
        <v>5</v>
      </c>
      <c r="E4" s="2">
        <f>Грунт!E4</f>
        <v>17.5</v>
      </c>
      <c r="F4" s="10">
        <f>E4*2+0.9*2</f>
        <v>36.799999999999997</v>
      </c>
      <c r="G4" s="208">
        <f>SUM(F4:F5)</f>
        <v>108</v>
      </c>
    </row>
    <row r="5" spans="1:7" x14ac:dyDescent="0.25">
      <c r="A5" s="198"/>
      <c r="B5" s="209"/>
      <c r="C5" s="2" t="s">
        <v>3</v>
      </c>
      <c r="D5" s="2" t="s">
        <v>13</v>
      </c>
      <c r="E5" s="2">
        <v>34.700000000000003</v>
      </c>
      <c r="F5" s="10">
        <f>E5*2+0.9*2</f>
        <v>71.2</v>
      </c>
      <c r="G5" s="208"/>
    </row>
    <row r="6" spans="1:7" x14ac:dyDescent="0.25">
      <c r="A6" s="9"/>
      <c r="B6" s="9"/>
      <c r="C6" s="9"/>
      <c r="D6" s="9"/>
      <c r="E6" s="19"/>
      <c r="F6" s="9"/>
      <c r="G6" s="9"/>
    </row>
    <row r="7" spans="1:7" x14ac:dyDescent="0.25">
      <c r="A7" s="207" t="s">
        <v>127</v>
      </c>
      <c r="B7" s="207"/>
      <c r="C7" s="207"/>
      <c r="D7" s="207"/>
      <c r="E7" s="207"/>
      <c r="F7" s="207"/>
      <c r="G7" s="207"/>
    </row>
    <row r="8" spans="1:7" ht="25.5" x14ac:dyDescent="0.25">
      <c r="A8" s="197"/>
      <c r="B8" s="5"/>
      <c r="C8" s="197"/>
      <c r="D8" s="197"/>
      <c r="E8" s="197" t="s">
        <v>41</v>
      </c>
      <c r="F8" s="197" t="s">
        <v>131</v>
      </c>
      <c r="G8" s="197" t="s">
        <v>2</v>
      </c>
    </row>
    <row r="9" spans="1:7" ht="25.5" x14ac:dyDescent="0.25">
      <c r="A9" s="197" t="s">
        <v>19</v>
      </c>
      <c r="B9" s="5" t="s">
        <v>0</v>
      </c>
      <c r="C9" s="197" t="s">
        <v>1</v>
      </c>
      <c r="D9" s="197" t="s">
        <v>39</v>
      </c>
      <c r="E9" s="197" t="s">
        <v>42</v>
      </c>
      <c r="F9" s="197" t="s">
        <v>129</v>
      </c>
      <c r="G9" s="197"/>
    </row>
    <row r="10" spans="1:7" x14ac:dyDescent="0.25">
      <c r="A10" s="198">
        <v>2</v>
      </c>
      <c r="B10" s="209" t="s">
        <v>127</v>
      </c>
      <c r="C10" s="2" t="s">
        <v>3</v>
      </c>
      <c r="D10" s="2" t="s">
        <v>5</v>
      </c>
      <c r="E10" s="2">
        <f>Грунт!E10</f>
        <v>54.2</v>
      </c>
      <c r="F10" s="10">
        <f>E10*2+0.9*2</f>
        <v>110.2</v>
      </c>
      <c r="G10" s="208">
        <f>SUM(F10:F11)</f>
        <v>155</v>
      </c>
    </row>
    <row r="11" spans="1:7" x14ac:dyDescent="0.25">
      <c r="A11" s="198"/>
      <c r="B11" s="209"/>
      <c r="C11" s="2" t="s">
        <v>3</v>
      </c>
      <c r="D11" s="2" t="s">
        <v>13</v>
      </c>
      <c r="E11" s="2">
        <f>Грунт!E11</f>
        <v>21.5</v>
      </c>
      <c r="F11" s="10">
        <f>E11*2+0.9*2</f>
        <v>44.8</v>
      </c>
      <c r="G11" s="208"/>
    </row>
    <row r="12" spans="1:7" x14ac:dyDescent="0.25">
      <c r="A12" s="9"/>
      <c r="B12" s="9"/>
      <c r="C12" s="9"/>
      <c r="D12" s="9"/>
      <c r="E12" s="2"/>
      <c r="F12" s="9"/>
      <c r="G12" s="9"/>
    </row>
    <row r="13" spans="1:7" x14ac:dyDescent="0.25">
      <c r="A13" s="207" t="s">
        <v>127</v>
      </c>
      <c r="B13" s="207"/>
      <c r="C13" s="207"/>
      <c r="D13" s="207"/>
      <c r="E13" s="207"/>
      <c r="F13" s="207"/>
      <c r="G13" s="207"/>
    </row>
    <row r="14" spans="1:7" ht="25.5" x14ac:dyDescent="0.25">
      <c r="A14" s="197"/>
      <c r="B14" s="5"/>
      <c r="C14" s="197"/>
      <c r="D14" s="197"/>
      <c r="E14" s="197" t="s">
        <v>41</v>
      </c>
      <c r="F14" s="197" t="s">
        <v>131</v>
      </c>
      <c r="G14" s="197" t="s">
        <v>2</v>
      </c>
    </row>
    <row r="15" spans="1:7" ht="25.5" x14ac:dyDescent="0.25">
      <c r="A15" s="197" t="s">
        <v>19</v>
      </c>
      <c r="B15" s="5" t="s">
        <v>0</v>
      </c>
      <c r="C15" s="197" t="s">
        <v>1</v>
      </c>
      <c r="D15" s="197" t="s">
        <v>39</v>
      </c>
      <c r="E15" s="197" t="s">
        <v>42</v>
      </c>
      <c r="F15" s="197" t="s">
        <v>129</v>
      </c>
      <c r="G15" s="197"/>
    </row>
    <row r="16" spans="1:7" x14ac:dyDescent="0.25">
      <c r="A16" s="198">
        <v>3</v>
      </c>
      <c r="B16" s="209" t="s">
        <v>127</v>
      </c>
      <c r="C16" s="2" t="s">
        <v>3</v>
      </c>
      <c r="D16" s="37" t="s">
        <v>5</v>
      </c>
      <c r="E16" s="2">
        <f>Грунт!E16</f>
        <v>42.9</v>
      </c>
      <c r="F16" s="10">
        <f>E16*2+0.9*2</f>
        <v>87.6</v>
      </c>
      <c r="G16" s="208">
        <f>SUM(F16:F19)</f>
        <v>244</v>
      </c>
    </row>
    <row r="17" spans="1:7" x14ac:dyDescent="0.25">
      <c r="A17" s="198"/>
      <c r="B17" s="209"/>
      <c r="C17" s="2" t="s">
        <v>3</v>
      </c>
      <c r="D17" s="2" t="s">
        <v>13</v>
      </c>
      <c r="E17" s="2">
        <f>Грунт!E17</f>
        <v>20.9</v>
      </c>
      <c r="F17" s="10">
        <f>E17*2+0.9*2</f>
        <v>43.599999999999994</v>
      </c>
      <c r="G17" s="208"/>
    </row>
    <row r="18" spans="1:7" x14ac:dyDescent="0.25">
      <c r="A18" s="198"/>
      <c r="B18" s="209"/>
      <c r="C18" s="2" t="s">
        <v>3</v>
      </c>
      <c r="D18" s="2" t="s">
        <v>16</v>
      </c>
      <c r="E18" s="2">
        <f>Грунт!E18</f>
        <v>12.5</v>
      </c>
      <c r="F18" s="10">
        <f t="shared" ref="F18:F19" si="0">E18*2+0.9*2</f>
        <v>26.8</v>
      </c>
      <c r="G18" s="208"/>
    </row>
    <row r="19" spans="1:7" x14ac:dyDescent="0.25">
      <c r="A19" s="198"/>
      <c r="B19" s="209"/>
      <c r="C19" s="2" t="s">
        <v>3</v>
      </c>
      <c r="D19" s="2" t="s">
        <v>17</v>
      </c>
      <c r="E19" s="2">
        <f>Грунт!E19</f>
        <v>42.1</v>
      </c>
      <c r="F19" s="10">
        <f t="shared" si="0"/>
        <v>86</v>
      </c>
      <c r="G19" s="208"/>
    </row>
    <row r="20" spans="1:7" x14ac:dyDescent="0.25">
      <c r="A20" s="9"/>
      <c r="B20" s="9"/>
      <c r="C20" s="9"/>
      <c r="D20" s="9"/>
      <c r="E20" s="2"/>
      <c r="F20" s="9"/>
      <c r="G20" s="9"/>
    </row>
    <row r="21" spans="1:7" x14ac:dyDescent="0.25">
      <c r="A21" s="207" t="s">
        <v>127</v>
      </c>
      <c r="B21" s="207"/>
      <c r="C21" s="207"/>
      <c r="D21" s="207"/>
      <c r="E21" s="207"/>
      <c r="F21" s="207"/>
      <c r="G21" s="207"/>
    </row>
    <row r="22" spans="1:7" ht="25.5" x14ac:dyDescent="0.25">
      <c r="A22" s="197"/>
      <c r="B22" s="5"/>
      <c r="C22" s="197"/>
      <c r="D22" s="197"/>
      <c r="E22" s="197" t="s">
        <v>41</v>
      </c>
      <c r="F22" s="197" t="s">
        <v>131</v>
      </c>
      <c r="G22" s="197" t="s">
        <v>2</v>
      </c>
    </row>
    <row r="23" spans="1:7" ht="25.5" x14ac:dyDescent="0.25">
      <c r="A23" s="197" t="s">
        <v>19</v>
      </c>
      <c r="B23" s="5" t="s">
        <v>0</v>
      </c>
      <c r="C23" s="197" t="s">
        <v>1</v>
      </c>
      <c r="D23" s="197" t="s">
        <v>39</v>
      </c>
      <c r="E23" s="197" t="s">
        <v>42</v>
      </c>
      <c r="F23" s="197" t="s">
        <v>129</v>
      </c>
      <c r="G23" s="197"/>
    </row>
    <row r="24" spans="1:7" x14ac:dyDescent="0.25">
      <c r="A24" s="198">
        <v>4</v>
      </c>
      <c r="B24" s="209" t="s">
        <v>127</v>
      </c>
      <c r="C24" s="2" t="s">
        <v>3</v>
      </c>
      <c r="D24" s="2" t="s">
        <v>5</v>
      </c>
      <c r="E24" s="2">
        <f>Грунт!E24</f>
        <v>80</v>
      </c>
      <c r="F24" s="10">
        <f>E24*2+0.9*2</f>
        <v>161.80000000000001</v>
      </c>
      <c r="G24" s="208">
        <f>SUM(F24:F26)</f>
        <v>329</v>
      </c>
    </row>
    <row r="25" spans="1:7" x14ac:dyDescent="0.25">
      <c r="A25" s="198"/>
      <c r="B25" s="209"/>
      <c r="C25" s="2" t="s">
        <v>3</v>
      </c>
      <c r="D25" s="2" t="s">
        <v>13</v>
      </c>
      <c r="E25" s="2">
        <f>Грунт!E25</f>
        <v>23.3</v>
      </c>
      <c r="F25" s="10">
        <f>E25*2+0.9*2</f>
        <v>48.4</v>
      </c>
      <c r="G25" s="208"/>
    </row>
    <row r="26" spans="1:7" x14ac:dyDescent="0.25">
      <c r="A26" s="198"/>
      <c r="B26" s="209"/>
      <c r="C26" s="2" t="s">
        <v>3</v>
      </c>
      <c r="D26" s="2" t="s">
        <v>16</v>
      </c>
      <c r="E26" s="2">
        <f>Грунт!E26</f>
        <v>58.5</v>
      </c>
      <c r="F26" s="10">
        <f t="shared" ref="F26" si="1">E26*2+0.9*2</f>
        <v>118.8</v>
      </c>
      <c r="G26" s="208"/>
    </row>
    <row r="27" spans="1:7" ht="15.75" thickBot="1" x14ac:dyDescent="0.3">
      <c r="E27" s="36"/>
    </row>
    <row r="28" spans="1:7" ht="15.75" thickBot="1" x14ac:dyDescent="0.3">
      <c r="E28" s="8">
        <f>SUM(E4:E26)</f>
        <v>408.1</v>
      </c>
      <c r="G28" s="8">
        <f>SUM(G4:G26)</f>
        <v>836</v>
      </c>
    </row>
    <row r="29" spans="1:7" x14ac:dyDescent="0.25">
      <c r="E29" s="36"/>
    </row>
  </sheetData>
  <mergeCells count="16">
    <mergeCell ref="A24:A26"/>
    <mergeCell ref="B24:B26"/>
    <mergeCell ref="G24:G26"/>
    <mergeCell ref="A1:G1"/>
    <mergeCell ref="A4:A5"/>
    <mergeCell ref="B4:B5"/>
    <mergeCell ref="G4:G5"/>
    <mergeCell ref="A7:G7"/>
    <mergeCell ref="A10:A11"/>
    <mergeCell ref="B10:B11"/>
    <mergeCell ref="G10:G11"/>
    <mergeCell ref="A13:G13"/>
    <mergeCell ref="A16:A19"/>
    <mergeCell ref="B16:B19"/>
    <mergeCell ref="G16:G19"/>
    <mergeCell ref="A21:G21"/>
  </mergeCells>
  <pageMargins left="0.70866141732283472" right="0.70866141732283472" top="0.74803149606299213" bottom="0.74803149606299213" header="0.31496062992125984" footer="0.31496062992125984"/>
  <pageSetup paperSize="9" scale="85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S110"/>
  <sheetViews>
    <sheetView zoomScaleNormal="100" workbookViewId="0">
      <selection activeCell="H5" sqref="H5"/>
    </sheetView>
  </sheetViews>
  <sheetFormatPr defaultRowHeight="15" x14ac:dyDescent="0.25"/>
  <cols>
    <col min="1" max="1" width="8.7109375" customWidth="1"/>
    <col min="2" max="2" width="11" customWidth="1"/>
    <col min="3" max="3" width="10.7109375" customWidth="1"/>
    <col min="4" max="4" width="5.85546875" customWidth="1"/>
    <col min="5" max="6" width="5.28515625" customWidth="1"/>
    <col min="7" max="7" width="6.140625" customWidth="1"/>
    <col min="8" max="8" width="16.140625" customWidth="1"/>
    <col min="9" max="10" width="6.140625" customWidth="1"/>
    <col min="11" max="11" width="13.42578125" customWidth="1"/>
    <col min="12" max="12" width="5.85546875" customWidth="1"/>
    <col min="13" max="14" width="8.7109375" customWidth="1"/>
    <col min="15" max="15" width="32.7109375" customWidth="1"/>
    <col min="16" max="16" width="30.85546875" customWidth="1"/>
    <col min="17" max="17" width="9.42578125" style="79" customWidth="1"/>
    <col min="20" max="20" width="9.140625" customWidth="1"/>
  </cols>
  <sheetData>
    <row r="1" spans="1:19" x14ac:dyDescent="0.25">
      <c r="A1" s="225" t="s">
        <v>52</v>
      </c>
      <c r="B1" s="226"/>
      <c r="C1" s="226"/>
      <c r="D1" s="226"/>
      <c r="E1" s="226"/>
      <c r="F1" s="226"/>
      <c r="G1" s="226"/>
      <c r="H1" s="226"/>
      <c r="I1" s="226"/>
      <c r="J1" s="226"/>
      <c r="K1" s="226"/>
      <c r="L1" s="226"/>
      <c r="M1" s="227"/>
      <c r="N1" s="69"/>
      <c r="O1" s="67" t="s">
        <v>60</v>
      </c>
      <c r="P1" s="67" t="s">
        <v>61</v>
      </c>
      <c r="Q1" s="80"/>
    </row>
    <row r="2" spans="1:19" ht="27" customHeight="1" x14ac:dyDescent="0.25">
      <c r="A2" s="199"/>
      <c r="B2" s="200"/>
      <c r="C2" s="200"/>
      <c r="D2" s="200"/>
      <c r="E2" s="200"/>
      <c r="F2" s="201"/>
      <c r="G2" s="232" t="s">
        <v>9</v>
      </c>
      <c r="H2" s="232"/>
      <c r="I2" s="232"/>
      <c r="J2" s="232" t="s">
        <v>14</v>
      </c>
      <c r="K2" s="232"/>
      <c r="L2" s="232"/>
      <c r="M2" s="7" t="s">
        <v>15</v>
      </c>
      <c r="N2" s="70"/>
      <c r="O2" s="49" t="s">
        <v>62</v>
      </c>
      <c r="P2" s="49" t="s">
        <v>62</v>
      </c>
      <c r="Q2" s="75"/>
      <c r="R2" t="s">
        <v>53</v>
      </c>
    </row>
    <row r="3" spans="1:19" ht="30" x14ac:dyDescent="0.25">
      <c r="A3" s="40" t="s">
        <v>19</v>
      </c>
      <c r="B3" s="40" t="s">
        <v>39</v>
      </c>
      <c r="C3" s="40" t="s">
        <v>7</v>
      </c>
      <c r="D3" s="50"/>
      <c r="E3" s="159" t="s">
        <v>110</v>
      </c>
      <c r="F3" s="159" t="s">
        <v>111</v>
      </c>
      <c r="G3" s="232" t="s">
        <v>48</v>
      </c>
      <c r="H3" s="232"/>
      <c r="I3" s="232"/>
      <c r="J3" s="232" t="s">
        <v>49</v>
      </c>
      <c r="K3" s="232"/>
      <c r="L3" s="232"/>
      <c r="M3" s="7" t="s">
        <v>8</v>
      </c>
      <c r="N3" s="70"/>
      <c r="O3" s="68" t="s">
        <v>63</v>
      </c>
      <c r="P3" s="68" t="s">
        <v>64</v>
      </c>
      <c r="Q3" s="81"/>
    </row>
    <row r="4" spans="1:19" x14ac:dyDescent="0.25">
      <c r="A4" s="229">
        <v>1</v>
      </c>
      <c r="B4" s="44" t="s">
        <v>5</v>
      </c>
      <c r="C4" s="44">
        <f>Грунт!E4</f>
        <v>17.5</v>
      </c>
      <c r="D4" s="2" t="s">
        <v>6</v>
      </c>
      <c r="E4" s="2">
        <v>0.45</v>
      </c>
      <c r="F4" s="2">
        <v>0.68</v>
      </c>
      <c r="G4" s="44" t="s">
        <v>6</v>
      </c>
      <c r="H4" s="3" t="str">
        <f>CONCATENATE("(",E4,"+",F4,")/2-0.250")</f>
        <v>(0,45+0,68)/2-0.250</v>
      </c>
      <c r="I4" s="3">
        <f>(E4+F4)/2-0.25</f>
        <v>0.31500000000000006</v>
      </c>
      <c r="J4" s="3" t="s">
        <v>12</v>
      </c>
      <c r="K4" s="3" t="s">
        <v>50</v>
      </c>
      <c r="L4" s="3">
        <f>0.2*2*I4</f>
        <v>0.12600000000000003</v>
      </c>
      <c r="M4" s="45">
        <f>L4*C4</f>
        <v>2.2050000000000005</v>
      </c>
      <c r="N4" s="71"/>
      <c r="O4" s="45">
        <f>2*C4*1.5</f>
        <v>52.5</v>
      </c>
      <c r="P4" s="86">
        <f>2*C4*(2*0.3+2*I4+2*0.6)</f>
        <v>85.049999999999983</v>
      </c>
      <c r="R4" s="9">
        <f>C4*I4*2</f>
        <v>11.025000000000002</v>
      </c>
    </row>
    <row r="5" spans="1:19" x14ac:dyDescent="0.25">
      <c r="A5" s="229"/>
      <c r="B5" s="44" t="s">
        <v>13</v>
      </c>
      <c r="C5" s="51">
        <v>34.700000000000003</v>
      </c>
      <c r="D5" s="2" t="s">
        <v>6</v>
      </c>
      <c r="E5" s="2">
        <v>1.99</v>
      </c>
      <c r="F5" s="2">
        <v>2.06</v>
      </c>
      <c r="G5" s="44" t="s">
        <v>6</v>
      </c>
      <c r="H5" s="3" t="str">
        <f>CONCATENATE("(",E5,"+",F5,")/2-0.500")</f>
        <v>(1,99+2,06)/2-0.500</v>
      </c>
      <c r="I5" s="3">
        <f>(E5+F5)/2-0.5</f>
        <v>1.5249999999999999</v>
      </c>
      <c r="J5" s="3" t="s">
        <v>12</v>
      </c>
      <c r="K5" s="3" t="s">
        <v>50</v>
      </c>
      <c r="L5" s="3">
        <f>0.2*2*I5</f>
        <v>0.61</v>
      </c>
      <c r="M5" s="45">
        <f>L5*C5</f>
        <v>21.167000000000002</v>
      </c>
      <c r="N5" s="71"/>
      <c r="O5" s="45">
        <f>2*C5*1.5</f>
        <v>104.10000000000001</v>
      </c>
      <c r="P5" s="86">
        <f>2*C5*(2*0.3+2*I5+2*0.6)</f>
        <v>336.59</v>
      </c>
      <c r="R5" s="9">
        <f>C5*I5*2</f>
        <v>105.83500000000001</v>
      </c>
    </row>
    <row r="6" spans="1:19" x14ac:dyDescent="0.25">
      <c r="A6" s="46"/>
      <c r="B6" s="46"/>
      <c r="C6" s="46"/>
      <c r="D6" s="18"/>
      <c r="E6" s="18"/>
      <c r="F6" s="18"/>
      <c r="G6" s="46"/>
      <c r="H6" s="46"/>
      <c r="I6" s="46"/>
      <c r="J6" s="46"/>
      <c r="K6" s="46"/>
      <c r="L6" s="46"/>
      <c r="M6" s="47">
        <f>SUM(M4:M5)</f>
        <v>23.372000000000003</v>
      </c>
      <c r="N6" s="72"/>
      <c r="O6" s="77">
        <f>SUM(O4:O5)</f>
        <v>156.60000000000002</v>
      </c>
      <c r="P6" s="77">
        <f>SUM(P4:P5)</f>
        <v>421.64</v>
      </c>
      <c r="Q6" s="72"/>
      <c r="R6" s="47">
        <f>SUM(R4:R5)</f>
        <v>116.86000000000001</v>
      </c>
    </row>
    <row r="7" spans="1:19" x14ac:dyDescent="0.25">
      <c r="A7" s="46"/>
      <c r="B7" s="230"/>
      <c r="C7" s="230"/>
      <c r="D7" s="230"/>
      <c r="E7" s="230"/>
      <c r="F7" s="230"/>
      <c r="G7" s="230"/>
      <c r="H7" s="230"/>
      <c r="I7" s="230"/>
      <c r="J7" s="230"/>
      <c r="K7" s="230"/>
      <c r="L7" s="230"/>
      <c r="M7" s="230"/>
      <c r="N7" s="73"/>
      <c r="O7" s="83"/>
      <c r="P7" s="82"/>
      <c r="R7" s="9"/>
    </row>
    <row r="8" spans="1:19" x14ac:dyDescent="0.25">
      <c r="A8" s="228" t="s">
        <v>52</v>
      </c>
      <c r="B8" s="228"/>
      <c r="C8" s="228"/>
      <c r="D8" s="228"/>
      <c r="E8" s="228"/>
      <c r="F8" s="228"/>
      <c r="G8" s="228"/>
      <c r="H8" s="228"/>
      <c r="I8" s="228"/>
      <c r="J8" s="228"/>
      <c r="K8" s="228"/>
      <c r="L8" s="228"/>
      <c r="M8" s="228"/>
      <c r="N8" s="74"/>
      <c r="O8" s="67" t="s">
        <v>60</v>
      </c>
      <c r="P8" s="67" t="s">
        <v>61</v>
      </c>
      <c r="R8" s="9"/>
    </row>
    <row r="9" spans="1:19" ht="27" customHeight="1" x14ac:dyDescent="0.25">
      <c r="A9" s="220"/>
      <c r="B9" s="221"/>
      <c r="C9" s="221"/>
      <c r="D9" s="221"/>
      <c r="E9" s="221"/>
      <c r="F9" s="222"/>
      <c r="G9" s="231" t="s">
        <v>9</v>
      </c>
      <c r="H9" s="231"/>
      <c r="I9" s="231"/>
      <c r="J9" s="231" t="s">
        <v>14</v>
      </c>
      <c r="K9" s="231"/>
      <c r="L9" s="231"/>
      <c r="M9" s="49" t="s">
        <v>15</v>
      </c>
      <c r="N9" s="75"/>
      <c r="O9" s="49" t="s">
        <v>62</v>
      </c>
      <c r="P9" s="49" t="s">
        <v>62</v>
      </c>
      <c r="R9" s="9"/>
    </row>
    <row r="10" spans="1:19" ht="30" x14ac:dyDescent="0.25">
      <c r="A10" s="48" t="s">
        <v>19</v>
      </c>
      <c r="B10" s="48" t="s">
        <v>39</v>
      </c>
      <c r="C10" s="48" t="s">
        <v>7</v>
      </c>
      <c r="E10" s="159" t="s">
        <v>110</v>
      </c>
      <c r="F10" s="159" t="s">
        <v>111</v>
      </c>
      <c r="G10" s="231" t="s">
        <v>11</v>
      </c>
      <c r="H10" s="231"/>
      <c r="I10" s="231"/>
      <c r="J10" s="231"/>
      <c r="K10" s="231"/>
      <c r="L10" s="231"/>
      <c r="M10" s="49" t="s">
        <v>8</v>
      </c>
      <c r="N10" s="75"/>
      <c r="O10" s="68" t="s">
        <v>63</v>
      </c>
      <c r="P10" s="68" t="s">
        <v>64</v>
      </c>
      <c r="R10" s="9"/>
    </row>
    <row r="11" spans="1:19" x14ac:dyDescent="0.25">
      <c r="A11" s="229">
        <v>2</v>
      </c>
      <c r="B11" s="44" t="s">
        <v>5</v>
      </c>
      <c r="C11" s="44">
        <f>Грунт!E10</f>
        <v>54.2</v>
      </c>
      <c r="D11" s="2" t="s">
        <v>6</v>
      </c>
      <c r="E11" s="2">
        <v>1.9850000000000001</v>
      </c>
      <c r="F11" s="2">
        <v>2.69</v>
      </c>
      <c r="G11" s="44" t="s">
        <v>6</v>
      </c>
      <c r="H11" s="3" t="str">
        <f>CONCATENATE("(",E11,"+",F11,")/2-0.250")</f>
        <v>(1,985+2,69)/2-0.250</v>
      </c>
      <c r="I11" s="90">
        <f>(E11+F11)/2-0.25</f>
        <v>2.0874999999999999</v>
      </c>
      <c r="J11" s="3" t="s">
        <v>12</v>
      </c>
      <c r="K11" s="3" t="s">
        <v>50</v>
      </c>
      <c r="L11" s="3">
        <f>0.2*2*I11</f>
        <v>0.83499999999999996</v>
      </c>
      <c r="M11" s="45">
        <f>L11*C11</f>
        <v>45.256999999999998</v>
      </c>
      <c r="N11" s="71"/>
      <c r="O11" s="45">
        <f>2*C11*1.5</f>
        <v>162.60000000000002</v>
      </c>
      <c r="P11" s="86">
        <f>2*C11*(2*0.3+2*I11+2*0.6)</f>
        <v>647.68999999999994</v>
      </c>
      <c r="R11" s="9">
        <f>C11*I11*2</f>
        <v>226.285</v>
      </c>
      <c r="S11">
        <f>2869-900</f>
        <v>1969</v>
      </c>
    </row>
    <row r="12" spans="1:19" x14ac:dyDescent="0.25">
      <c r="A12" s="229"/>
      <c r="B12" s="44" t="s">
        <v>13</v>
      </c>
      <c r="C12" s="51">
        <f>Грунт!E11</f>
        <v>21.5</v>
      </c>
      <c r="D12" s="2" t="s">
        <v>6</v>
      </c>
      <c r="E12" s="2">
        <v>0.45</v>
      </c>
      <c r="F12" s="2">
        <v>0.74</v>
      </c>
      <c r="G12" s="44" t="s">
        <v>6</v>
      </c>
      <c r="H12" s="3" t="str">
        <f>CONCATENATE("(",E12,"+",F12,")/2-0.250")</f>
        <v>(0,45+0,74)/2-0.250</v>
      </c>
      <c r="I12" s="3">
        <f>(E12+F12)/2-0.25</f>
        <v>0.34499999999999997</v>
      </c>
      <c r="J12" s="3" t="s">
        <v>12</v>
      </c>
      <c r="K12" s="3" t="s">
        <v>50</v>
      </c>
      <c r="L12" s="3">
        <f>0.2*2*I12</f>
        <v>0.13799999999999998</v>
      </c>
      <c r="M12" s="45">
        <f>L12*C12</f>
        <v>2.9669999999999996</v>
      </c>
      <c r="N12" s="71"/>
      <c r="O12" s="45">
        <f>2*C12*1.5</f>
        <v>64.5</v>
      </c>
      <c r="P12" s="86">
        <f>2*C12*(2*0.3+2*I12+2*0.6)</f>
        <v>107.07000000000001</v>
      </c>
      <c r="R12" s="9">
        <f>C12*I12*2</f>
        <v>14.834999999999999</v>
      </c>
    </row>
    <row r="13" spans="1:19" x14ac:dyDescent="0.25">
      <c r="A13" s="46"/>
      <c r="B13" s="46"/>
      <c r="C13" s="46"/>
      <c r="D13" s="46"/>
      <c r="E13" s="46"/>
      <c r="F13" s="46"/>
      <c r="G13" s="46"/>
      <c r="H13" s="46"/>
      <c r="I13" s="46"/>
      <c r="J13" s="46"/>
      <c r="K13" s="46"/>
      <c r="L13" s="46"/>
      <c r="M13" s="47">
        <f>SUM(M11:M12)</f>
        <v>48.223999999999997</v>
      </c>
      <c r="N13" s="72"/>
      <c r="O13" s="47">
        <f>SUM(O11:O12)</f>
        <v>227.10000000000002</v>
      </c>
      <c r="P13" s="47">
        <f>SUM(P11:P12)</f>
        <v>754.76</v>
      </c>
      <c r="R13" s="47">
        <f>SUM(R11:R12)</f>
        <v>241.12</v>
      </c>
    </row>
    <row r="14" spans="1:19" x14ac:dyDescent="0.25">
      <c r="A14" s="46"/>
      <c r="B14" s="230"/>
      <c r="C14" s="230"/>
      <c r="D14" s="230"/>
      <c r="E14" s="230"/>
      <c r="F14" s="230"/>
      <c r="G14" s="230"/>
      <c r="H14" s="230"/>
      <c r="I14" s="230"/>
      <c r="J14" s="230"/>
      <c r="K14" s="230"/>
      <c r="L14" s="230"/>
      <c r="M14" s="230"/>
      <c r="N14" s="73"/>
      <c r="O14" s="83"/>
      <c r="P14" s="82"/>
      <c r="R14" s="9"/>
    </row>
    <row r="15" spans="1:19" x14ac:dyDescent="0.25">
      <c r="A15" s="228" t="s">
        <v>52</v>
      </c>
      <c r="B15" s="228"/>
      <c r="C15" s="228"/>
      <c r="D15" s="228"/>
      <c r="E15" s="228"/>
      <c r="F15" s="228"/>
      <c r="G15" s="228"/>
      <c r="H15" s="228"/>
      <c r="I15" s="228"/>
      <c r="J15" s="228"/>
      <c r="K15" s="228"/>
      <c r="L15" s="228"/>
      <c r="M15" s="228"/>
      <c r="N15" s="74"/>
      <c r="O15" s="67" t="s">
        <v>60</v>
      </c>
      <c r="P15" s="67" t="s">
        <v>61</v>
      </c>
      <c r="R15" s="9"/>
    </row>
    <row r="16" spans="1:19" ht="27" customHeight="1" x14ac:dyDescent="0.25">
      <c r="A16" s="220"/>
      <c r="B16" s="221"/>
      <c r="C16" s="221"/>
      <c r="D16" s="221"/>
      <c r="E16" s="221"/>
      <c r="F16" s="222"/>
      <c r="G16" s="231" t="s">
        <v>9</v>
      </c>
      <c r="H16" s="231"/>
      <c r="I16" s="231"/>
      <c r="J16" s="231" t="s">
        <v>14</v>
      </c>
      <c r="K16" s="231"/>
      <c r="L16" s="231"/>
      <c r="M16" s="49" t="s">
        <v>15</v>
      </c>
      <c r="N16" s="75"/>
      <c r="O16" s="49" t="s">
        <v>62</v>
      </c>
      <c r="P16" s="49" t="s">
        <v>62</v>
      </c>
      <c r="R16" s="9"/>
    </row>
    <row r="17" spans="1:18" ht="30" x14ac:dyDescent="0.25">
      <c r="A17" s="48" t="s">
        <v>19</v>
      </c>
      <c r="B17" s="139" t="s">
        <v>39</v>
      </c>
      <c r="C17" s="139" t="s">
        <v>7</v>
      </c>
      <c r="D17" s="154"/>
      <c r="E17" s="159" t="s">
        <v>110</v>
      </c>
      <c r="F17" s="159" t="s">
        <v>111</v>
      </c>
      <c r="G17" s="231" t="s">
        <v>48</v>
      </c>
      <c r="H17" s="231"/>
      <c r="I17" s="231"/>
      <c r="J17" s="231"/>
      <c r="K17" s="231"/>
      <c r="L17" s="231"/>
      <c r="M17" s="49" t="s">
        <v>8</v>
      </c>
      <c r="N17" s="75"/>
      <c r="O17" s="68" t="s">
        <v>63</v>
      </c>
      <c r="P17" s="68" t="s">
        <v>64</v>
      </c>
      <c r="R17" s="9"/>
    </row>
    <row r="18" spans="1:18" x14ac:dyDescent="0.25">
      <c r="A18" s="229">
        <v>3</v>
      </c>
      <c r="B18" s="111" t="s">
        <v>5</v>
      </c>
      <c r="C18" s="138">
        <f>Грунт!E16</f>
        <v>42.9</v>
      </c>
      <c r="D18" s="138" t="s">
        <v>6</v>
      </c>
      <c r="E18" s="138">
        <v>1.98</v>
      </c>
      <c r="F18" s="138">
        <v>2.69</v>
      </c>
      <c r="G18" s="138" t="s">
        <v>6</v>
      </c>
      <c r="H18" s="3" t="str">
        <f>CONCATENATE("(",E18,"+",F18,")/2-0.250")</f>
        <v>(1,98+2,69)/2-0.250</v>
      </c>
      <c r="I18" s="3">
        <f>(E18+F18)/2-0.25</f>
        <v>2.085</v>
      </c>
      <c r="J18" s="3" t="s">
        <v>12</v>
      </c>
      <c r="K18" s="3" t="s">
        <v>50</v>
      </c>
      <c r="L18" s="90">
        <f t="shared" ref="L18:L20" si="0">0.2*2*I18</f>
        <v>0.83400000000000007</v>
      </c>
      <c r="M18" s="45">
        <f>L18*C18</f>
        <v>35.778600000000004</v>
      </c>
      <c r="N18" s="71"/>
      <c r="O18" s="45">
        <f>2*C18*1.5</f>
        <v>128.69999999999999</v>
      </c>
      <c r="P18" s="86">
        <f>2*C18*(2*0.3+2*I18+2*0.6)</f>
        <v>512.226</v>
      </c>
      <c r="R18" s="9">
        <f>C18*I18*2</f>
        <v>178.893</v>
      </c>
    </row>
    <row r="19" spans="1:18" x14ac:dyDescent="0.25">
      <c r="A19" s="229"/>
      <c r="B19" s="111" t="s">
        <v>13</v>
      </c>
      <c r="C19" s="138">
        <f>Грунт!E17</f>
        <v>20.9</v>
      </c>
      <c r="D19" s="138" t="s">
        <v>6</v>
      </c>
      <c r="E19" s="138">
        <v>0.9</v>
      </c>
      <c r="F19" s="138">
        <v>1.33</v>
      </c>
      <c r="G19" s="138" t="s">
        <v>6</v>
      </c>
      <c r="H19" s="3" t="str">
        <f>CONCATENATE("(",E19,"+",F19,")/2-0.250")</f>
        <v>(0,9+1,33)/2-0.250</v>
      </c>
      <c r="I19" s="3">
        <f t="shared" ref="I19:I21" si="1">(E19+F19)/2-0.25</f>
        <v>0.86499999999999999</v>
      </c>
      <c r="J19" s="3" t="s">
        <v>12</v>
      </c>
      <c r="K19" s="3" t="s">
        <v>50</v>
      </c>
      <c r="L19" s="90">
        <f t="shared" si="0"/>
        <v>0.34600000000000003</v>
      </c>
      <c r="M19" s="45">
        <f>L19*C19</f>
        <v>7.2313999999999998</v>
      </c>
      <c r="N19" s="71"/>
      <c r="O19" s="45">
        <f>2*C19*1.5</f>
        <v>62.699999999999996</v>
      </c>
      <c r="P19" s="86">
        <f>2*C19*(2*0.3+2*I19+2*0.6)</f>
        <v>147.554</v>
      </c>
      <c r="R19" s="9">
        <f>C19*I19*2</f>
        <v>36.156999999999996</v>
      </c>
    </row>
    <row r="20" spans="1:18" x14ac:dyDescent="0.25">
      <c r="A20" s="229"/>
      <c r="B20" s="111" t="s">
        <v>16</v>
      </c>
      <c r="C20" s="138">
        <f>Грунт!E18</f>
        <v>12.5</v>
      </c>
      <c r="D20" s="138" t="s">
        <v>6</v>
      </c>
      <c r="E20" s="138">
        <v>1.4</v>
      </c>
      <c r="F20" s="138">
        <v>1.6</v>
      </c>
      <c r="G20" s="138" t="s">
        <v>6</v>
      </c>
      <c r="H20" s="3" t="str">
        <f>CONCATENATE("(",E20,"+",F20,")/2-0.250")</f>
        <v>(1,4+1,6)/2-0.250</v>
      </c>
      <c r="I20" s="90">
        <f t="shared" si="1"/>
        <v>1.25</v>
      </c>
      <c r="J20" s="3" t="s">
        <v>12</v>
      </c>
      <c r="K20" s="3" t="s">
        <v>50</v>
      </c>
      <c r="L20" s="90">
        <f t="shared" si="0"/>
        <v>0.5</v>
      </c>
      <c r="M20" s="45">
        <f>L20*C20</f>
        <v>6.25</v>
      </c>
      <c r="N20" s="71"/>
      <c r="O20" s="45">
        <f>2*C20*1.5</f>
        <v>37.5</v>
      </c>
      <c r="P20" s="86">
        <f>2*C20*(2*0.3+2*I20+2*0.6)</f>
        <v>107.5</v>
      </c>
      <c r="R20" s="9">
        <f t="shared" ref="R20:R21" si="2">C20*I20*2</f>
        <v>31.25</v>
      </c>
    </row>
    <row r="21" spans="1:18" x14ac:dyDescent="0.25">
      <c r="A21" s="229"/>
      <c r="B21" s="111" t="s">
        <v>17</v>
      </c>
      <c r="C21" s="138">
        <f>Грунт!E19</f>
        <v>42.1</v>
      </c>
      <c r="D21" s="138" t="s">
        <v>6</v>
      </c>
      <c r="E21" s="138">
        <v>1.76</v>
      </c>
      <c r="F21" s="138">
        <v>2.2999999999999998</v>
      </c>
      <c r="G21" s="138" t="s">
        <v>6</v>
      </c>
      <c r="H21" s="3" t="str">
        <f>CONCATENATE("(",E21,"+",F21,")/2-0.250")</f>
        <v>(1,76+2,3)/2-0.250</v>
      </c>
      <c r="I21" s="90">
        <f t="shared" si="1"/>
        <v>1.7799999999999998</v>
      </c>
      <c r="J21" s="3" t="s">
        <v>12</v>
      </c>
      <c r="K21" s="3" t="s">
        <v>65</v>
      </c>
      <c r="L21" s="90">
        <f>0.4*2*I21</f>
        <v>1.4239999999999999</v>
      </c>
      <c r="M21" s="45">
        <f>L21*C21</f>
        <v>59.950400000000002</v>
      </c>
      <c r="N21" s="71"/>
      <c r="O21" s="45">
        <f>2*C21*1.5</f>
        <v>126.30000000000001</v>
      </c>
      <c r="P21" s="86">
        <f>2*C21*(2*0.3+2*I21+2*0.6)</f>
        <v>451.31199999999995</v>
      </c>
      <c r="R21" s="9">
        <f t="shared" si="2"/>
        <v>149.87599999999998</v>
      </c>
    </row>
    <row r="22" spans="1:18" x14ac:dyDescent="0.25">
      <c r="A22" s="46"/>
      <c r="B22" s="46"/>
      <c r="C22" s="46"/>
      <c r="D22" s="46"/>
      <c r="E22" s="46"/>
      <c r="F22" s="46"/>
      <c r="G22" s="46"/>
      <c r="H22" s="46"/>
      <c r="I22" s="46"/>
      <c r="J22" s="46"/>
      <c r="K22" s="46"/>
      <c r="L22" s="46"/>
      <c r="M22" s="47">
        <f>SUM(M18:M21)</f>
        <v>109.21040000000001</v>
      </c>
      <c r="N22" s="72"/>
      <c r="O22" s="47">
        <f>SUM(O18:O21)</f>
        <v>355.2</v>
      </c>
      <c r="P22" s="47">
        <f>SUM(P18:P21)</f>
        <v>1218.5919999999999</v>
      </c>
      <c r="R22" s="47">
        <f>SUM(R18:R21)</f>
        <v>396.17599999999999</v>
      </c>
    </row>
    <row r="23" spans="1:18" x14ac:dyDescent="0.25">
      <c r="A23" s="46"/>
      <c r="B23" s="230"/>
      <c r="C23" s="230"/>
      <c r="D23" s="230"/>
      <c r="E23" s="230"/>
      <c r="F23" s="230"/>
      <c r="G23" s="230"/>
      <c r="H23" s="230"/>
      <c r="I23" s="230"/>
      <c r="J23" s="230"/>
      <c r="K23" s="230"/>
      <c r="L23" s="230"/>
      <c r="M23" s="230"/>
      <c r="N23" s="73"/>
      <c r="O23" s="83"/>
      <c r="P23" s="82"/>
      <c r="R23" s="9"/>
    </row>
    <row r="24" spans="1:18" x14ac:dyDescent="0.25">
      <c r="A24" s="234" t="s">
        <v>52</v>
      </c>
      <c r="B24" s="234"/>
      <c r="C24" s="234"/>
      <c r="D24" s="234"/>
      <c r="E24" s="234"/>
      <c r="F24" s="234"/>
      <c r="G24" s="228"/>
      <c r="H24" s="228"/>
      <c r="I24" s="228"/>
      <c r="J24" s="228"/>
      <c r="K24" s="228"/>
      <c r="L24" s="228"/>
      <c r="M24" s="228"/>
      <c r="N24" s="74"/>
      <c r="O24" s="84" t="s">
        <v>60</v>
      </c>
      <c r="P24" s="78" t="s">
        <v>61</v>
      </c>
      <c r="R24" s="9"/>
    </row>
    <row r="25" spans="1:18" ht="27" customHeight="1" x14ac:dyDescent="0.25">
      <c r="A25" s="155"/>
      <c r="B25" s="156"/>
      <c r="C25" s="156"/>
      <c r="D25" s="157"/>
      <c r="E25" s="157"/>
      <c r="F25" s="158"/>
      <c r="G25" s="222" t="s">
        <v>47</v>
      </c>
      <c r="H25" s="231"/>
      <c r="I25" s="231"/>
      <c r="J25" s="231" t="s">
        <v>14</v>
      </c>
      <c r="K25" s="231"/>
      <c r="L25" s="231"/>
      <c r="M25" s="49" t="s">
        <v>15</v>
      </c>
      <c r="N25" s="75"/>
      <c r="O25" s="49" t="s">
        <v>62</v>
      </c>
      <c r="P25" s="49" t="s">
        <v>62</v>
      </c>
      <c r="R25" s="9"/>
    </row>
    <row r="26" spans="1:18" ht="30" x14ac:dyDescent="0.25">
      <c r="A26" s="139" t="s">
        <v>19</v>
      </c>
      <c r="B26" s="139" t="s">
        <v>39</v>
      </c>
      <c r="C26" s="139" t="s">
        <v>7</v>
      </c>
      <c r="D26" s="9"/>
      <c r="E26" s="159" t="s">
        <v>110</v>
      </c>
      <c r="F26" s="159" t="s">
        <v>111</v>
      </c>
      <c r="G26" s="222" t="s">
        <v>48</v>
      </c>
      <c r="H26" s="231"/>
      <c r="I26" s="231"/>
      <c r="J26" s="231" t="s">
        <v>49</v>
      </c>
      <c r="K26" s="231"/>
      <c r="L26" s="231"/>
      <c r="M26" s="49" t="s">
        <v>8</v>
      </c>
      <c r="N26" s="75"/>
      <c r="O26" s="68" t="s">
        <v>63</v>
      </c>
      <c r="P26" s="68" t="s">
        <v>64</v>
      </c>
      <c r="R26" s="9"/>
    </row>
    <row r="27" spans="1:18" x14ac:dyDescent="0.25">
      <c r="A27" s="229">
        <v>4</v>
      </c>
      <c r="B27" s="111" t="s">
        <v>5</v>
      </c>
      <c r="C27" s="62">
        <f>Грунт!E24</f>
        <v>80</v>
      </c>
      <c r="D27" s="2" t="s">
        <v>6</v>
      </c>
      <c r="E27" s="2">
        <v>1.4</v>
      </c>
      <c r="F27" s="2">
        <v>2.2000000000000002</v>
      </c>
      <c r="G27" s="62" t="s">
        <v>6</v>
      </c>
      <c r="H27" s="3" t="str">
        <f>CONCATENATE("(",E27,"+",F27,")/2-0.250")</f>
        <v>(1,4+2,2)/2-0.250</v>
      </c>
      <c r="I27" s="90">
        <f>(E27+F27)/2-0.25</f>
        <v>1.55</v>
      </c>
      <c r="J27" s="3" t="s">
        <v>12</v>
      </c>
      <c r="K27" s="3" t="s">
        <v>50</v>
      </c>
      <c r="L27" s="90">
        <f>0.2*2*I27</f>
        <v>0.62000000000000011</v>
      </c>
      <c r="M27" s="45">
        <f>L27*C27</f>
        <v>49.600000000000009</v>
      </c>
      <c r="N27" s="71"/>
      <c r="O27" s="45">
        <f>2*C27*1.5</f>
        <v>240</v>
      </c>
      <c r="P27" s="86">
        <f>2*C27*(2*0.3+2*I27+2*0.6)</f>
        <v>784</v>
      </c>
      <c r="R27" s="9">
        <f>C27*I27*2</f>
        <v>248</v>
      </c>
    </row>
    <row r="28" spans="1:18" x14ac:dyDescent="0.25">
      <c r="A28" s="229"/>
      <c r="B28" s="111" t="s">
        <v>13</v>
      </c>
      <c r="C28" s="62">
        <f>Грунт!E25</f>
        <v>23.3</v>
      </c>
      <c r="D28" s="2" t="s">
        <v>6</v>
      </c>
      <c r="E28" s="2">
        <v>1.42</v>
      </c>
      <c r="F28" s="2">
        <v>1.7210000000000001</v>
      </c>
      <c r="G28" s="62" t="s">
        <v>6</v>
      </c>
      <c r="H28" s="3" t="str">
        <f>CONCATENATE("(",E28,"+",F28,")/2-0.250")</f>
        <v>(1,42+1,721)/2-0.250</v>
      </c>
      <c r="I28" s="90">
        <f t="shared" ref="I28:I29" si="3">(E28+F28)/2-0.25</f>
        <v>1.3205</v>
      </c>
      <c r="J28" s="3" t="s">
        <v>12</v>
      </c>
      <c r="K28" s="3" t="s">
        <v>50</v>
      </c>
      <c r="L28" s="90">
        <f>0.2*2*I28</f>
        <v>0.5282</v>
      </c>
      <c r="M28" s="45">
        <f>L28*C28</f>
        <v>12.30706</v>
      </c>
      <c r="N28" s="71"/>
      <c r="O28" s="45">
        <f>2*C28*1.5</f>
        <v>69.900000000000006</v>
      </c>
      <c r="P28" s="86">
        <f>2*C28*(2*0.3+2*I28+2*0.6)</f>
        <v>206.95060000000001</v>
      </c>
      <c r="R28" s="9">
        <f t="shared" ref="R28:R29" si="4">C28*I28*2</f>
        <v>61.535299999999999</v>
      </c>
    </row>
    <row r="29" spans="1:18" x14ac:dyDescent="0.25">
      <c r="A29" s="229"/>
      <c r="B29" s="111" t="s">
        <v>16</v>
      </c>
      <c r="C29" s="62">
        <f>Грунт!E26</f>
        <v>58.5</v>
      </c>
      <c r="D29" s="18"/>
      <c r="E29" s="2">
        <v>0.45</v>
      </c>
      <c r="F29" s="2">
        <v>0.72499999999999998</v>
      </c>
      <c r="G29" s="62" t="s">
        <v>6</v>
      </c>
      <c r="H29" s="3" t="str">
        <f>CONCATENATE("(",E29,"+",F29,")/2-0.250")</f>
        <v>(0,45+0,725)/2-0.250</v>
      </c>
      <c r="I29" s="90">
        <f t="shared" si="3"/>
        <v>0.33750000000000002</v>
      </c>
      <c r="J29" s="3" t="s">
        <v>12</v>
      </c>
      <c r="K29" s="3" t="s">
        <v>50</v>
      </c>
      <c r="L29" s="3">
        <f>0.2*2*I29</f>
        <v>0.13500000000000001</v>
      </c>
      <c r="M29" s="45">
        <f>L29*C29</f>
        <v>7.8975000000000009</v>
      </c>
      <c r="N29" s="71"/>
      <c r="O29" s="45">
        <f>2*C29*1.5</f>
        <v>175.5</v>
      </c>
      <c r="P29" s="86">
        <f>2*C29*(2*0.3+2*I29+2*0.6)</f>
        <v>289.57499999999993</v>
      </c>
      <c r="R29" s="9">
        <f t="shared" si="4"/>
        <v>39.487500000000004</v>
      </c>
    </row>
    <row r="30" spans="1:18" x14ac:dyDescent="0.25">
      <c r="A30" s="46"/>
      <c r="B30" s="46"/>
      <c r="C30" s="46"/>
      <c r="D30" s="9"/>
      <c r="E30" s="9"/>
      <c r="F30" s="9"/>
      <c r="G30" s="46"/>
      <c r="H30" s="46"/>
      <c r="I30" s="46"/>
      <c r="J30" s="46"/>
      <c r="K30" s="46"/>
      <c r="L30" s="46"/>
      <c r="M30" s="47">
        <f>SUM(M27:M29)</f>
        <v>69.804560000000009</v>
      </c>
      <c r="N30" s="72"/>
      <c r="O30" s="47">
        <f>SUM(O27:O29)</f>
        <v>485.4</v>
      </c>
      <c r="P30" s="47">
        <f>SUM(P27:P29)</f>
        <v>1280.5255999999999</v>
      </c>
      <c r="R30" s="47">
        <f>SUM(R26:R29)</f>
        <v>349.02280000000002</v>
      </c>
    </row>
    <row r="31" spans="1:18" ht="15.75" thickBot="1" x14ac:dyDescent="0.3">
      <c r="A31" s="42"/>
      <c r="B31" s="42"/>
      <c r="C31" s="42"/>
      <c r="G31" s="42"/>
      <c r="H31" s="42"/>
      <c r="I31" s="42"/>
      <c r="J31" s="42"/>
      <c r="K31" s="42"/>
      <c r="L31" s="42"/>
      <c r="M31" s="28"/>
      <c r="N31" s="28"/>
      <c r="O31" s="28"/>
    </row>
    <row r="32" spans="1:18" ht="15.75" thickBot="1" x14ac:dyDescent="0.3">
      <c r="M32" s="85">
        <f>M6+M13+M22+M30</f>
        <v>250.61096000000001</v>
      </c>
      <c r="N32" s="76"/>
      <c r="O32" s="87">
        <f>O6+O13+O22+O30</f>
        <v>1224.3000000000002</v>
      </c>
      <c r="P32" s="87">
        <f>P6+P13+P22+P30</f>
        <v>3675.5176000000001</v>
      </c>
      <c r="R32" s="43">
        <f>R6+R13+R22+R30</f>
        <v>1103.1787999999999</v>
      </c>
    </row>
    <row r="33" spans="1:16" ht="15.75" thickBot="1" x14ac:dyDescent="0.3">
      <c r="O33" s="88"/>
      <c r="P33" s="88"/>
    </row>
    <row r="34" spans="1:16" ht="15.75" thickBot="1" x14ac:dyDescent="0.3">
      <c r="O34" s="223">
        <f>O32+P32</f>
        <v>4899.8176000000003</v>
      </c>
      <c r="P34" s="224"/>
    </row>
    <row r="36" spans="1:16" ht="15.75" thickBot="1" x14ac:dyDescent="0.3"/>
    <row r="37" spans="1:16" ht="15.75" thickBot="1" x14ac:dyDescent="0.3">
      <c r="A37" s="92"/>
      <c r="B37" s="93"/>
      <c r="C37" s="93"/>
      <c r="D37" s="235" t="s">
        <v>69</v>
      </c>
      <c r="E37" s="236"/>
      <c r="F37" s="236"/>
      <c r="G37" s="236"/>
      <c r="H37" s="236"/>
      <c r="I37" s="236"/>
      <c r="J37" s="236"/>
      <c r="K37" s="237"/>
      <c r="L37" s="93"/>
      <c r="M37" s="94"/>
    </row>
    <row r="38" spans="1:16" x14ac:dyDescent="0.25">
      <c r="A38" s="95"/>
      <c r="B38" s="79"/>
      <c r="C38" s="79"/>
      <c r="D38" s="79"/>
      <c r="E38" s="79"/>
      <c r="F38" s="79"/>
      <c r="G38" s="79"/>
      <c r="H38" s="79"/>
      <c r="I38" s="79"/>
      <c r="J38" s="79"/>
      <c r="K38" s="79"/>
      <c r="L38" s="79"/>
      <c r="M38" s="96"/>
    </row>
    <row r="39" spans="1:16" ht="36" customHeight="1" x14ac:dyDescent="0.25">
      <c r="A39" s="95" t="s">
        <v>67</v>
      </c>
      <c r="B39" s="79"/>
      <c r="C39" s="66">
        <v>2.4500000000000002</v>
      </c>
      <c r="D39" s="2" t="s">
        <v>6</v>
      </c>
      <c r="E39" s="2">
        <v>0.98499999999999999</v>
      </c>
      <c r="F39" s="2">
        <v>0.98499999999999999</v>
      </c>
      <c r="G39" s="66" t="s">
        <v>6</v>
      </c>
      <c r="H39" s="3" t="str">
        <f>CONCATENATE("(",E39,"+",F39,")/2-0.212")</f>
        <v>(0,985+0,985)/2-0.212</v>
      </c>
      <c r="I39" s="3">
        <f>(E39+F39)/2-0.212</f>
        <v>0.77300000000000002</v>
      </c>
      <c r="J39" s="3" t="s">
        <v>12</v>
      </c>
      <c r="K39" s="3" t="s">
        <v>65</v>
      </c>
      <c r="L39" s="3">
        <f>0.4*2*I39</f>
        <v>0.61840000000000006</v>
      </c>
      <c r="M39" s="97">
        <f>L39*C39</f>
        <v>1.5150800000000002</v>
      </c>
    </row>
    <row r="40" spans="1:16" x14ac:dyDescent="0.25">
      <c r="A40" s="95"/>
      <c r="B40" s="79"/>
      <c r="C40" s="79"/>
      <c r="D40" s="79"/>
      <c r="E40" s="79"/>
      <c r="F40" s="79"/>
      <c r="G40" s="79"/>
      <c r="H40" s="79"/>
      <c r="I40" s="79"/>
      <c r="J40" s="79"/>
      <c r="K40" s="79"/>
      <c r="L40" s="79"/>
      <c r="M40" s="98"/>
    </row>
    <row r="41" spans="1:16" ht="25.5" x14ac:dyDescent="0.25">
      <c r="A41" s="95"/>
      <c r="B41" s="79"/>
      <c r="C41" s="66">
        <f>4.47-2.45</f>
        <v>2.0199999999999996</v>
      </c>
      <c r="D41" s="2" t="s">
        <v>6</v>
      </c>
      <c r="E41" s="2">
        <v>0.98499999999999999</v>
      </c>
      <c r="F41" s="2">
        <v>0.98499999999999999</v>
      </c>
      <c r="G41" s="66" t="s">
        <v>6</v>
      </c>
      <c r="H41" s="3" t="str">
        <f>CONCATENATE("(",E41,"+",F41,")/2-0.250")</f>
        <v>(0,985+0,985)/2-0.250</v>
      </c>
      <c r="I41" s="3">
        <f>(E41+F41)/2-0.25</f>
        <v>0.73499999999999999</v>
      </c>
      <c r="J41" s="3" t="s">
        <v>12</v>
      </c>
      <c r="K41" s="3" t="s">
        <v>50</v>
      </c>
      <c r="L41" s="3">
        <f t="shared" ref="L41" si="5">0.2*2*I41</f>
        <v>0.29399999999999998</v>
      </c>
      <c r="M41" s="97">
        <f>L41*C41</f>
        <v>0.59387999999999985</v>
      </c>
    </row>
    <row r="42" spans="1:16" x14ac:dyDescent="0.25">
      <c r="A42" s="95"/>
      <c r="B42" s="79"/>
      <c r="C42" s="79"/>
      <c r="D42" s="79"/>
      <c r="E42" s="79"/>
      <c r="F42" s="79"/>
      <c r="G42" s="79"/>
      <c r="H42" s="79"/>
      <c r="I42" s="79"/>
      <c r="J42" s="79"/>
      <c r="K42" s="79"/>
      <c r="L42" s="79"/>
      <c r="M42" s="98"/>
    </row>
    <row r="43" spans="1:16" x14ac:dyDescent="0.25">
      <c r="A43" s="95" t="s">
        <v>66</v>
      </c>
      <c r="B43" s="79"/>
      <c r="C43" s="79"/>
      <c r="D43" s="79"/>
      <c r="E43" s="79"/>
      <c r="F43" s="79"/>
      <c r="G43" s="79"/>
      <c r="H43" s="79"/>
      <c r="I43" s="79"/>
      <c r="J43" s="79"/>
      <c r="K43" s="79"/>
      <c r="L43" s="79"/>
      <c r="M43" s="99">
        <f>1.6*1.3*3*0.1</f>
        <v>0.62400000000000011</v>
      </c>
    </row>
    <row r="44" spans="1:16" x14ac:dyDescent="0.25">
      <c r="A44" s="95"/>
      <c r="B44" s="79"/>
      <c r="C44" s="79"/>
      <c r="D44" s="79"/>
      <c r="E44" s="79"/>
      <c r="F44" s="79"/>
      <c r="G44" s="79"/>
      <c r="H44" s="79"/>
      <c r="I44" s="79"/>
      <c r="J44" s="79"/>
      <c r="K44" s="79"/>
      <c r="L44" s="79"/>
      <c r="M44" s="98"/>
    </row>
    <row r="45" spans="1:16" x14ac:dyDescent="0.25">
      <c r="A45" s="95"/>
      <c r="B45" s="79"/>
      <c r="C45" s="79"/>
      <c r="D45" s="79"/>
      <c r="E45" s="79"/>
      <c r="F45" s="79"/>
      <c r="G45" s="79"/>
      <c r="H45" s="79"/>
      <c r="I45" s="79"/>
      <c r="J45" s="79"/>
      <c r="K45" s="79"/>
      <c r="L45" s="79"/>
      <c r="M45" s="98"/>
    </row>
    <row r="46" spans="1:16" x14ac:dyDescent="0.25">
      <c r="A46" s="95" t="s">
        <v>68</v>
      </c>
      <c r="B46" s="79"/>
      <c r="C46" s="79"/>
      <c r="D46" s="79"/>
      <c r="E46" s="79"/>
      <c r="F46" s="79"/>
      <c r="G46" s="79"/>
      <c r="H46" s="79"/>
      <c r="I46" s="79"/>
      <c r="J46" s="79"/>
      <c r="K46" s="79"/>
      <c r="L46" s="79"/>
      <c r="M46" s="98">
        <f>1.5*0.95*5*0.1</f>
        <v>0.71249999999999991</v>
      </c>
    </row>
    <row r="47" spans="1:16" ht="15.75" thickBot="1" x14ac:dyDescent="0.3">
      <c r="A47" s="95"/>
      <c r="B47" s="79"/>
      <c r="C47" s="79"/>
      <c r="D47" s="79"/>
      <c r="E47" s="79"/>
      <c r="F47" s="79"/>
      <c r="G47" s="79"/>
      <c r="H47" s="79"/>
      <c r="I47" s="79"/>
      <c r="J47" s="79"/>
      <c r="K47" s="79"/>
      <c r="L47" s="79"/>
      <c r="M47" s="98"/>
    </row>
    <row r="48" spans="1:16" ht="15.75" thickBot="1" x14ac:dyDescent="0.3">
      <c r="A48" s="100"/>
      <c r="B48" s="101"/>
      <c r="C48" s="101"/>
      <c r="D48" s="101"/>
      <c r="E48" s="101"/>
      <c r="F48" s="101"/>
      <c r="G48" s="101"/>
      <c r="H48" s="101"/>
      <c r="I48" s="101"/>
      <c r="J48" s="101"/>
      <c r="K48" s="101" t="s">
        <v>70</v>
      </c>
      <c r="L48" s="101"/>
      <c r="M48" s="91">
        <f>SUM(M39:M46)</f>
        <v>3.4454600000000002</v>
      </c>
    </row>
    <row r="51" spans="1:13" x14ac:dyDescent="0.25">
      <c r="A51" t="s">
        <v>71</v>
      </c>
      <c r="C51" s="102">
        <f>4*0.65</f>
        <v>2.6</v>
      </c>
      <c r="D51" s="2"/>
      <c r="E51" s="2"/>
      <c r="F51" s="2"/>
      <c r="G51" s="102"/>
      <c r="H51" s="3"/>
      <c r="I51" s="3"/>
      <c r="J51" s="3"/>
      <c r="K51" s="3"/>
      <c r="L51" s="3"/>
      <c r="M51" s="97">
        <f>C51*0.3*0.9</f>
        <v>0.70200000000000007</v>
      </c>
    </row>
    <row r="53" spans="1:13" x14ac:dyDescent="0.25">
      <c r="A53" t="s">
        <v>72</v>
      </c>
      <c r="C53" s="103">
        <f>4*(0.65*2+0.5)</f>
        <v>7.2</v>
      </c>
      <c r="D53" s="2" t="s">
        <v>6</v>
      </c>
      <c r="E53" s="2">
        <v>0.5</v>
      </c>
      <c r="F53" s="2">
        <v>0.45</v>
      </c>
      <c r="G53" s="102" t="s">
        <v>6</v>
      </c>
      <c r="H53" s="3" t="str">
        <f>CONCATENATE("(",E53,"+",F53,")/2-0.250")</f>
        <v>(0,5+0,45)/2-0.250</v>
      </c>
      <c r="I53" s="3">
        <f>(E53+F53)/2-0.25</f>
        <v>0.22499999999999998</v>
      </c>
      <c r="J53" s="3" t="s">
        <v>12</v>
      </c>
      <c r="K53" s="3" t="s">
        <v>50</v>
      </c>
      <c r="L53" s="3">
        <f t="shared" ref="L53" si="6">0.2*2*I53</f>
        <v>0.09</v>
      </c>
      <c r="M53" s="97">
        <f>L53*C53</f>
        <v>0.64800000000000002</v>
      </c>
    </row>
    <row r="54" spans="1:13" ht="15.75" thickBot="1" x14ac:dyDescent="0.3"/>
    <row r="55" spans="1:13" ht="15.75" thickBot="1" x14ac:dyDescent="0.3">
      <c r="M55" s="43">
        <f>SUM(M51:M53)</f>
        <v>1.35</v>
      </c>
    </row>
    <row r="56" spans="1:13" ht="15.75" thickBot="1" x14ac:dyDescent="0.3"/>
    <row r="57" spans="1:13" ht="15.75" thickBot="1" x14ac:dyDescent="0.3">
      <c r="H57" s="106">
        <v>44163</v>
      </c>
    </row>
    <row r="58" spans="1:13" ht="15.75" thickBot="1" x14ac:dyDescent="0.3">
      <c r="A58" s="92"/>
      <c r="B58" s="93"/>
      <c r="C58" s="93"/>
      <c r="D58" s="93"/>
      <c r="E58" s="93"/>
      <c r="F58" s="93"/>
      <c r="G58" s="93"/>
      <c r="H58" s="93"/>
      <c r="I58" s="93"/>
      <c r="J58" s="93"/>
      <c r="K58" s="93"/>
      <c r="L58" s="93"/>
      <c r="M58" s="94"/>
    </row>
    <row r="59" spans="1:13" x14ac:dyDescent="0.25">
      <c r="A59" s="92" t="s">
        <v>73</v>
      </c>
      <c r="B59" s="93"/>
      <c r="C59" s="107" t="s">
        <v>74</v>
      </c>
      <c r="D59" s="93"/>
      <c r="E59" s="93"/>
      <c r="F59" s="93"/>
      <c r="G59" s="93"/>
      <c r="H59" s="93"/>
      <c r="I59" s="93"/>
      <c r="J59" s="93"/>
      <c r="K59" s="93"/>
      <c r="L59" s="93"/>
      <c r="M59" s="108">
        <f>11.6*1.7*0.3</f>
        <v>5.9159999999999995</v>
      </c>
    </row>
    <row r="60" spans="1:13" x14ac:dyDescent="0.25">
      <c r="A60" s="95"/>
      <c r="B60" s="79"/>
      <c r="C60" s="103" t="s">
        <v>75</v>
      </c>
      <c r="D60" s="79"/>
      <c r="E60" s="79"/>
      <c r="F60" s="79"/>
      <c r="G60" s="79"/>
      <c r="H60" s="79"/>
      <c r="I60" s="79"/>
      <c r="J60" s="79"/>
      <c r="K60" s="79"/>
      <c r="L60" s="79"/>
      <c r="M60" s="109">
        <f>6*1.3*1.6*0.1</f>
        <v>1.2480000000000002</v>
      </c>
    </row>
    <row r="61" spans="1:13" ht="15.75" thickBot="1" x14ac:dyDescent="0.3">
      <c r="A61" s="95"/>
      <c r="B61" s="79"/>
      <c r="C61" s="79" t="s">
        <v>76</v>
      </c>
      <c r="D61" s="79"/>
      <c r="E61" s="79"/>
      <c r="F61" s="79"/>
      <c r="G61" s="79"/>
      <c r="H61" s="79"/>
      <c r="I61" s="79"/>
      <c r="J61" s="79"/>
      <c r="K61" s="79"/>
      <c r="L61" s="79"/>
      <c r="M61" s="109">
        <f>8.9*0.1</f>
        <v>0.89000000000000012</v>
      </c>
    </row>
    <row r="62" spans="1:13" ht="15.75" thickBot="1" x14ac:dyDescent="0.3">
      <c r="A62" s="100"/>
      <c r="B62" s="101"/>
      <c r="C62" s="101"/>
      <c r="D62" s="101"/>
      <c r="E62" s="101"/>
      <c r="F62" s="101"/>
      <c r="G62" s="101"/>
      <c r="H62" s="101"/>
      <c r="I62" s="101"/>
      <c r="J62" s="101"/>
      <c r="K62" s="101"/>
      <c r="L62" s="101"/>
      <c r="M62" s="85">
        <f>SUM(M59:M61)</f>
        <v>8.0540000000000003</v>
      </c>
    </row>
    <row r="63" spans="1:13" ht="15.75" thickBot="1" x14ac:dyDescent="0.3">
      <c r="A63" t="s">
        <v>78</v>
      </c>
      <c r="C63" s="110" t="s">
        <v>79</v>
      </c>
      <c r="M63" s="85">
        <f>2*1.2*0.9*0.6</f>
        <v>1.296</v>
      </c>
    </row>
    <row r="64" spans="1:13" x14ac:dyDescent="0.25">
      <c r="A64" t="s">
        <v>77</v>
      </c>
    </row>
    <row r="68" spans="1:16" ht="15.75" thickBot="1" x14ac:dyDescent="0.3">
      <c r="D68" s="1"/>
      <c r="E68" s="233" t="s">
        <v>87</v>
      </c>
      <c r="F68" s="233"/>
      <c r="G68" s="233"/>
      <c r="H68" s="233"/>
      <c r="I68" s="233"/>
      <c r="J68" s="233"/>
    </row>
    <row r="69" spans="1:16" ht="38.25" x14ac:dyDescent="0.25">
      <c r="A69" s="245" t="s">
        <v>81</v>
      </c>
      <c r="B69" s="130" t="s">
        <v>84</v>
      </c>
      <c r="C69" s="243" t="s">
        <v>5</v>
      </c>
      <c r="D69" s="131">
        <v>28</v>
      </c>
      <c r="E69" s="2" t="s">
        <v>6</v>
      </c>
      <c r="F69" s="2">
        <v>1.9</v>
      </c>
      <c r="G69" s="2">
        <v>2.2000000000000002</v>
      </c>
      <c r="H69" s="105" t="s">
        <v>6</v>
      </c>
      <c r="I69" s="3" t="str">
        <f>CONCATENATE("(",F69,"+",G69,")/2-0.250")</f>
        <v>(1,9+2,2)/2-0.250</v>
      </c>
      <c r="J69" s="3">
        <f>(F69+G69)/2-0.25</f>
        <v>1.7999999999999998</v>
      </c>
      <c r="K69" s="3" t="s">
        <v>12</v>
      </c>
      <c r="L69" s="3" t="s">
        <v>50</v>
      </c>
      <c r="M69" s="90">
        <f>0.2*2*J69</f>
        <v>0.72</v>
      </c>
      <c r="N69" s="10">
        <f>M69*D69</f>
        <v>20.16</v>
      </c>
    </row>
    <row r="70" spans="1:16" ht="15.75" thickBot="1" x14ac:dyDescent="0.3">
      <c r="A70" s="246"/>
      <c r="B70" s="121" t="s">
        <v>88</v>
      </c>
      <c r="C70" s="244"/>
      <c r="D70" s="131" t="s">
        <v>90</v>
      </c>
      <c r="E70" s="126"/>
      <c r="F70" s="126"/>
      <c r="G70" s="126"/>
      <c r="H70" s="127"/>
      <c r="I70" s="128"/>
      <c r="J70" s="128"/>
      <c r="K70" s="128"/>
      <c r="L70" s="128"/>
      <c r="M70" s="129"/>
      <c r="N70" s="10">
        <v>4</v>
      </c>
    </row>
    <row r="71" spans="1:16" ht="15.75" thickBot="1" x14ac:dyDescent="0.3">
      <c r="A71" s="247"/>
      <c r="B71" s="103" t="s">
        <v>83</v>
      </c>
      <c r="C71" s="112" t="s">
        <v>13</v>
      </c>
      <c r="D71" s="104">
        <v>11.7</v>
      </c>
      <c r="E71" s="115"/>
      <c r="F71" s="115"/>
      <c r="G71" s="115"/>
      <c r="H71" s="241" t="s">
        <v>82</v>
      </c>
      <c r="I71" s="242"/>
      <c r="J71" s="242"/>
      <c r="K71" s="242"/>
      <c r="L71" s="115"/>
      <c r="M71" s="116"/>
      <c r="N71" s="114">
        <f>11.7*0.9*0.33</f>
        <v>3.4748999999999999</v>
      </c>
      <c r="P71" t="s">
        <v>94</v>
      </c>
    </row>
    <row r="72" spans="1:16" ht="15.75" thickBot="1" x14ac:dyDescent="0.3">
      <c r="A72" s="121"/>
      <c r="C72" s="122"/>
      <c r="D72" s="123"/>
      <c r="E72" s="124"/>
      <c r="F72" s="124"/>
      <c r="G72" s="124"/>
      <c r="H72" s="121"/>
      <c r="I72" s="121"/>
      <c r="J72" s="121"/>
      <c r="K72" s="121"/>
      <c r="L72" s="124"/>
      <c r="M72" s="124"/>
      <c r="N72" s="125"/>
    </row>
    <row r="73" spans="1:16" ht="15.75" thickBot="1" x14ac:dyDescent="0.3">
      <c r="A73" s="119" t="s">
        <v>91</v>
      </c>
      <c r="B73" s="118" t="s">
        <v>83</v>
      </c>
      <c r="C73" s="113" t="s">
        <v>92</v>
      </c>
      <c r="D73" s="104">
        <v>27.5</v>
      </c>
      <c r="E73" s="115"/>
      <c r="F73" s="115"/>
      <c r="G73" s="115"/>
      <c r="H73" s="241" t="s">
        <v>89</v>
      </c>
      <c r="I73" s="242"/>
      <c r="J73" s="242"/>
      <c r="K73" s="242"/>
      <c r="L73" s="115"/>
      <c r="M73" s="116"/>
      <c r="N73" s="120">
        <f>19.6*1.25*0.33</f>
        <v>8.0850000000000009</v>
      </c>
    </row>
    <row r="74" spans="1:16" ht="15.75" thickBot="1" x14ac:dyDescent="0.3">
      <c r="A74" s="119"/>
      <c r="B74" s="118"/>
      <c r="C74" s="113"/>
      <c r="D74" s="104"/>
      <c r="E74" s="115"/>
      <c r="F74" s="115"/>
      <c r="G74" s="115"/>
      <c r="H74" s="130"/>
      <c r="I74" s="132"/>
      <c r="J74" s="132"/>
      <c r="K74" s="132"/>
      <c r="L74" s="115"/>
      <c r="M74" s="116"/>
      <c r="N74" s="120"/>
    </row>
    <row r="75" spans="1:16" ht="15.75" thickBot="1" x14ac:dyDescent="0.3">
      <c r="A75" s="119" t="s">
        <v>80</v>
      </c>
      <c r="B75" s="118" t="s">
        <v>83</v>
      </c>
      <c r="C75" s="113" t="s">
        <v>85</v>
      </c>
      <c r="D75" s="104">
        <v>19.600000000000001</v>
      </c>
      <c r="E75" s="115"/>
      <c r="F75" s="115"/>
      <c r="G75" s="115"/>
      <c r="H75" s="241" t="s">
        <v>86</v>
      </c>
      <c r="I75" s="242"/>
      <c r="J75" s="242"/>
      <c r="K75" s="242"/>
      <c r="L75" s="115"/>
      <c r="M75" s="116"/>
      <c r="N75" s="137"/>
      <c r="O75" t="s">
        <v>93</v>
      </c>
    </row>
    <row r="76" spans="1:16" ht="15.75" thickBot="1" x14ac:dyDescent="0.3">
      <c r="A76" s="117"/>
      <c r="N76" s="85">
        <f>SUM(N69:N75)</f>
        <v>35.719900000000003</v>
      </c>
    </row>
    <row r="79" spans="1:16" x14ac:dyDescent="0.25">
      <c r="G79" s="162" t="s">
        <v>113</v>
      </c>
    </row>
    <row r="80" spans="1:16" x14ac:dyDescent="0.25">
      <c r="B80" s="111" t="s">
        <v>17</v>
      </c>
      <c r="C80" s="160">
        <f>42-4</f>
        <v>38</v>
      </c>
      <c r="D80" s="160" t="s">
        <v>6</v>
      </c>
      <c r="E80" s="160">
        <v>1.76</v>
      </c>
      <c r="F80" s="160">
        <v>2.2999999999999998</v>
      </c>
      <c r="G80" s="160" t="s">
        <v>6</v>
      </c>
      <c r="H80" s="3" t="str">
        <f>CONCATENATE("(",E80,"+",F80,")/2-0.60")</f>
        <v>(1,76+2,3)/2-0.60</v>
      </c>
      <c r="I80" s="90">
        <f>(E80+F80)/2-0.6</f>
        <v>1.4299999999999997</v>
      </c>
      <c r="J80" s="3" t="s">
        <v>12</v>
      </c>
      <c r="K80" s="3" t="s">
        <v>112</v>
      </c>
      <c r="L80" s="90">
        <f>0.75*I80</f>
        <v>1.0724999999999998</v>
      </c>
      <c r="M80" s="45">
        <f>L80*C80</f>
        <v>40.754999999999995</v>
      </c>
    </row>
    <row r="85" spans="2:13" x14ac:dyDescent="0.25">
      <c r="B85" s="174" t="s">
        <v>117</v>
      </c>
      <c r="C85" s="157"/>
      <c r="D85" s="157"/>
      <c r="E85" s="157"/>
      <c r="F85" s="157"/>
      <c r="G85" s="163" t="s">
        <v>118</v>
      </c>
      <c r="H85" s="157"/>
      <c r="I85" s="157"/>
      <c r="J85" s="157"/>
      <c r="K85" s="157"/>
      <c r="L85" s="157"/>
      <c r="M85" s="158"/>
    </row>
    <row r="86" spans="2:13" x14ac:dyDescent="0.25">
      <c r="B86" s="113" t="s">
        <v>16</v>
      </c>
      <c r="C86" s="161">
        <v>12.5</v>
      </c>
      <c r="D86" s="161" t="s">
        <v>6</v>
      </c>
      <c r="E86" s="161">
        <v>1.4</v>
      </c>
      <c r="F86" s="161">
        <v>1.6</v>
      </c>
      <c r="G86" s="161" t="s">
        <v>6</v>
      </c>
      <c r="H86" s="3" t="str">
        <f>CONCATENATE("(",E86,"+",F86,")/2-0.500")</f>
        <v>(1,4+1,6)/2-0.500</v>
      </c>
      <c r="I86" s="90">
        <f>(E86+F86)/2-0.5</f>
        <v>1</v>
      </c>
      <c r="J86" s="3" t="s">
        <v>12</v>
      </c>
      <c r="K86" s="3" t="s">
        <v>114</v>
      </c>
      <c r="L86" s="90">
        <f>0.75*I86</f>
        <v>0.75</v>
      </c>
      <c r="M86" s="45">
        <f>L86*C86</f>
        <v>9.375</v>
      </c>
    </row>
    <row r="87" spans="2:13" x14ac:dyDescent="0.25">
      <c r="B87" s="164"/>
      <c r="C87" s="79"/>
      <c r="D87" s="79"/>
      <c r="E87" s="79"/>
      <c r="F87" s="79"/>
      <c r="G87" s="79"/>
      <c r="H87" s="79"/>
      <c r="I87" s="79"/>
      <c r="J87" s="79"/>
      <c r="K87" s="79"/>
      <c r="L87" s="79"/>
      <c r="M87" s="169"/>
    </row>
    <row r="88" spans="2:13" x14ac:dyDescent="0.25">
      <c r="B88" s="167" t="s">
        <v>115</v>
      </c>
      <c r="C88" s="168"/>
      <c r="D88" s="168"/>
      <c r="E88" s="168"/>
      <c r="F88" s="168"/>
      <c r="G88" s="168"/>
      <c r="H88" s="168"/>
      <c r="I88" s="168"/>
      <c r="J88" s="168"/>
      <c r="K88" s="168"/>
      <c r="L88" s="168"/>
      <c r="M88" s="171">
        <v>2</v>
      </c>
    </row>
    <row r="89" spans="2:13" x14ac:dyDescent="0.25">
      <c r="B89" s="172" t="s">
        <v>116</v>
      </c>
      <c r="C89" s="173"/>
      <c r="D89" s="173"/>
      <c r="E89" s="173"/>
      <c r="F89" s="173"/>
      <c r="G89" s="173"/>
      <c r="H89" s="173"/>
      <c r="I89" s="173"/>
      <c r="J89" s="173"/>
      <c r="K89" s="173"/>
      <c r="L89" s="173"/>
      <c r="M89" s="103">
        <v>5.7</v>
      </c>
    </row>
    <row r="90" spans="2:13" ht="15.75" thickBot="1" x14ac:dyDescent="0.3">
      <c r="B90" s="164"/>
      <c r="C90" s="79"/>
      <c r="D90" s="79"/>
      <c r="E90" s="79"/>
      <c r="F90" s="79"/>
      <c r="G90" s="79"/>
      <c r="H90" s="79"/>
      <c r="I90" s="79"/>
      <c r="J90" s="79"/>
      <c r="K90" s="79"/>
      <c r="L90" s="79"/>
      <c r="M90" s="169"/>
    </row>
    <row r="91" spans="2:13" ht="15.75" thickBot="1" x14ac:dyDescent="0.3">
      <c r="B91" s="165"/>
      <c r="C91" s="166"/>
      <c r="D91" s="166"/>
      <c r="E91" s="166"/>
      <c r="F91" s="166"/>
      <c r="G91" s="166"/>
      <c r="H91" s="166"/>
      <c r="I91" s="166"/>
      <c r="J91" s="166"/>
      <c r="K91" s="166"/>
      <c r="L91" s="166"/>
      <c r="M91" s="170">
        <f>SUM(M86:M89)</f>
        <v>17.074999999999999</v>
      </c>
    </row>
    <row r="92" spans="2:13" ht="15.75" thickBot="1" x14ac:dyDescent="0.3"/>
    <row r="93" spans="2:13" x14ac:dyDescent="0.25">
      <c r="B93" s="92"/>
      <c r="C93" s="93"/>
      <c r="D93" s="93"/>
      <c r="E93" s="93"/>
      <c r="F93" s="93"/>
      <c r="G93" s="175" t="s">
        <v>119</v>
      </c>
      <c r="H93" s="93"/>
      <c r="I93" s="93"/>
      <c r="J93" s="93"/>
      <c r="K93" s="93"/>
      <c r="L93" s="93"/>
      <c r="M93" s="94"/>
    </row>
    <row r="94" spans="2:13" x14ac:dyDescent="0.25">
      <c r="B94" s="95"/>
      <c r="C94" s="79"/>
      <c r="D94" s="79"/>
      <c r="E94" s="79"/>
      <c r="F94" s="79"/>
      <c r="G94" s="79"/>
      <c r="H94" s="79"/>
      <c r="I94" s="79"/>
      <c r="J94" s="79"/>
      <c r="K94" s="79"/>
      <c r="L94" s="79"/>
      <c r="M94" s="96"/>
    </row>
    <row r="95" spans="2:13" x14ac:dyDescent="0.25">
      <c r="B95" s="95" t="s">
        <v>71</v>
      </c>
      <c r="C95" s="79">
        <v>14.5</v>
      </c>
      <c r="D95" s="79" t="s">
        <v>42</v>
      </c>
      <c r="E95" s="79"/>
      <c r="F95" s="79"/>
      <c r="G95" s="79"/>
      <c r="H95" s="79"/>
      <c r="I95" s="79"/>
      <c r="J95" s="79"/>
      <c r="K95" s="79" t="s">
        <v>120</v>
      </c>
      <c r="L95" s="79"/>
      <c r="M95" s="109">
        <f>14.5*0.9*0.3</f>
        <v>3.915</v>
      </c>
    </row>
    <row r="96" spans="2:13" ht="15.75" thickBot="1" x14ac:dyDescent="0.3">
      <c r="B96" s="100"/>
      <c r="C96" s="101"/>
      <c r="D96" s="101"/>
      <c r="E96" s="101"/>
      <c r="F96" s="101"/>
      <c r="G96" s="101"/>
      <c r="H96" s="101"/>
      <c r="I96" s="101"/>
      <c r="J96" s="101"/>
      <c r="K96" s="101"/>
      <c r="L96" s="101"/>
      <c r="M96" s="176"/>
    </row>
    <row r="98" spans="1:14" ht="15.75" thickBot="1" x14ac:dyDescent="0.3"/>
    <row r="99" spans="1:14" ht="15.75" thickBot="1" x14ac:dyDescent="0.3">
      <c r="B99" s="92"/>
      <c r="C99" s="93"/>
      <c r="D99" s="93"/>
      <c r="E99" s="93"/>
      <c r="F99" s="238" t="s">
        <v>121</v>
      </c>
      <c r="G99" s="239"/>
      <c r="H99" s="239"/>
      <c r="I99" s="239"/>
      <c r="J99" s="239"/>
      <c r="K99" s="240"/>
      <c r="L99" s="93"/>
      <c r="M99" s="94"/>
    </row>
    <row r="100" spans="1:14" ht="26.25" thickBot="1" x14ac:dyDescent="0.3">
      <c r="B100" s="178" t="s">
        <v>5</v>
      </c>
      <c r="C100" s="179">
        <v>33.6</v>
      </c>
      <c r="D100" s="179" t="s">
        <v>6</v>
      </c>
      <c r="E100" s="179">
        <v>2.0750000000000002</v>
      </c>
      <c r="F100" s="180">
        <v>2.758</v>
      </c>
      <c r="G100" s="180" t="s">
        <v>6</v>
      </c>
      <c r="H100" s="181" t="str">
        <f>CONCATENATE("(",E100,"+",F100,")/2-0.250")</f>
        <v>(2,075+2,758)/2-0.250</v>
      </c>
      <c r="I100" s="181">
        <f>(E100+F100)/2-0.25</f>
        <v>2.1665000000000001</v>
      </c>
      <c r="J100" s="181" t="s">
        <v>12</v>
      </c>
      <c r="K100" s="181" t="s">
        <v>50</v>
      </c>
      <c r="L100" s="182">
        <f t="shared" ref="L100" si="7">0.2*2*I100</f>
        <v>0.86660000000000004</v>
      </c>
      <c r="M100" s="183">
        <f>L100*C100</f>
        <v>29.117760000000004</v>
      </c>
    </row>
    <row r="102" spans="1:14" ht="15.75" thickBot="1" x14ac:dyDescent="0.3"/>
    <row r="103" spans="1:14" x14ac:dyDescent="0.25">
      <c r="B103" s="92"/>
      <c r="C103" s="93"/>
      <c r="D103" s="93"/>
      <c r="E103" s="93"/>
      <c r="F103" s="175" t="s">
        <v>122</v>
      </c>
      <c r="G103" s="93"/>
      <c r="H103" s="93"/>
      <c r="I103" s="93"/>
      <c r="J103" s="93"/>
      <c r="K103" s="93"/>
      <c r="L103" s="93"/>
      <c r="M103" s="94"/>
    </row>
    <row r="104" spans="1:14" x14ac:dyDescent="0.25">
      <c r="B104" s="95"/>
      <c r="C104" s="79"/>
      <c r="D104" s="79"/>
      <c r="E104" s="79"/>
      <c r="F104" s="79"/>
      <c r="G104" s="79"/>
      <c r="H104" s="79"/>
      <c r="I104" s="79"/>
      <c r="J104" s="79"/>
      <c r="K104" s="79"/>
      <c r="L104" s="79"/>
      <c r="M104" s="96"/>
    </row>
    <row r="105" spans="1:14" x14ac:dyDescent="0.25">
      <c r="A105" t="s">
        <v>125</v>
      </c>
      <c r="B105" s="191" t="s">
        <v>13</v>
      </c>
      <c r="C105" s="184">
        <v>8</v>
      </c>
      <c r="D105" s="184" t="s">
        <v>6</v>
      </c>
      <c r="E105" s="184">
        <v>1.1499999999999999</v>
      </c>
      <c r="F105" s="184">
        <v>1.33</v>
      </c>
      <c r="G105" s="184" t="s">
        <v>6</v>
      </c>
      <c r="H105" s="3" t="str">
        <f>CONCATENATE("(",E105,"+",F105,")/2-0.500")</f>
        <v>(1,15+1,33)/2-0.500</v>
      </c>
      <c r="I105" s="3">
        <f>(E105+F105)/2-0.5</f>
        <v>0.74</v>
      </c>
      <c r="J105" s="3" t="s">
        <v>12</v>
      </c>
      <c r="K105" s="3" t="s">
        <v>50</v>
      </c>
      <c r="L105" s="90">
        <f t="shared" ref="L105" si="8">0.2*2*I105</f>
        <v>0.29599999999999999</v>
      </c>
      <c r="M105" s="193">
        <f>L105*C105</f>
        <v>2.3679999999999999</v>
      </c>
      <c r="N105" s="162">
        <v>2.7</v>
      </c>
    </row>
    <row r="106" spans="1:14" x14ac:dyDescent="0.25">
      <c r="B106" s="192"/>
      <c r="C106" s="187"/>
      <c r="D106" s="187"/>
      <c r="E106" s="187"/>
      <c r="F106" s="187"/>
      <c r="G106" s="187"/>
      <c r="H106" s="188"/>
      <c r="I106" s="188"/>
      <c r="J106" s="188"/>
      <c r="K106" s="188"/>
      <c r="L106" s="189"/>
      <c r="M106" s="194"/>
    </row>
    <row r="107" spans="1:14" x14ac:dyDescent="0.25">
      <c r="B107" s="95"/>
      <c r="C107" s="79"/>
      <c r="D107" s="79"/>
      <c r="E107" s="79"/>
      <c r="F107" s="186" t="s">
        <v>123</v>
      </c>
      <c r="G107" s="79"/>
      <c r="H107" s="79"/>
      <c r="I107" s="79"/>
      <c r="J107" s="79"/>
      <c r="K107" s="79"/>
      <c r="L107" s="79"/>
      <c r="M107" s="96"/>
    </row>
    <row r="108" spans="1:14" x14ac:dyDescent="0.25">
      <c r="B108" s="95"/>
      <c r="C108" s="79"/>
      <c r="D108" s="79"/>
      <c r="E108" s="79"/>
      <c r="F108" s="186"/>
      <c r="G108" s="79"/>
      <c r="H108" s="79"/>
      <c r="I108" s="79"/>
      <c r="J108" s="79"/>
      <c r="K108" s="79"/>
      <c r="L108" s="79"/>
      <c r="M108" s="96"/>
    </row>
    <row r="109" spans="1:14" x14ac:dyDescent="0.25">
      <c r="A109" t="s">
        <v>124</v>
      </c>
      <c r="B109" s="195" t="s">
        <v>13</v>
      </c>
      <c r="C109" s="127" t="s">
        <v>126</v>
      </c>
      <c r="D109" s="126"/>
      <c r="E109" s="126"/>
      <c r="F109" s="126"/>
      <c r="G109" s="190"/>
      <c r="H109" s="128"/>
      <c r="I109" s="128"/>
      <c r="J109" s="128"/>
      <c r="K109" s="128"/>
      <c r="L109" s="128"/>
      <c r="M109" s="196">
        <f>16.5*1.5*0.1</f>
        <v>2.4750000000000001</v>
      </c>
      <c r="N109" s="162">
        <v>2.8</v>
      </c>
    </row>
    <row r="110" spans="1:14" ht="15.75" thickBot="1" x14ac:dyDescent="0.3">
      <c r="B110" s="100"/>
      <c r="C110" s="101"/>
      <c r="D110" s="101"/>
      <c r="E110" s="101"/>
      <c r="F110" s="101"/>
      <c r="G110" s="101"/>
      <c r="H110" s="101"/>
      <c r="I110" s="101"/>
      <c r="J110" s="101"/>
      <c r="K110" s="101"/>
      <c r="L110" s="101"/>
      <c r="M110" s="176"/>
    </row>
  </sheetData>
  <mergeCells count="39">
    <mergeCell ref="F99:K99"/>
    <mergeCell ref="H75:K75"/>
    <mergeCell ref="A16:F16"/>
    <mergeCell ref="C69:C70"/>
    <mergeCell ref="H73:K73"/>
    <mergeCell ref="A69:A71"/>
    <mergeCell ref="H71:K71"/>
    <mergeCell ref="J3:L3"/>
    <mergeCell ref="A8:M8"/>
    <mergeCell ref="E68:J68"/>
    <mergeCell ref="A27:A29"/>
    <mergeCell ref="A18:A21"/>
    <mergeCell ref="B23:M23"/>
    <mergeCell ref="G25:I25"/>
    <mergeCell ref="J25:L25"/>
    <mergeCell ref="G26:I26"/>
    <mergeCell ref="J26:L26"/>
    <mergeCell ref="A24:M24"/>
    <mergeCell ref="D37:K37"/>
    <mergeCell ref="G16:I16"/>
    <mergeCell ref="J16:L16"/>
    <mergeCell ref="G17:I17"/>
    <mergeCell ref="J17:L17"/>
    <mergeCell ref="A9:F9"/>
    <mergeCell ref="A2:F2"/>
    <mergeCell ref="O34:P34"/>
    <mergeCell ref="A1:M1"/>
    <mergeCell ref="A15:M15"/>
    <mergeCell ref="A4:A5"/>
    <mergeCell ref="B7:M7"/>
    <mergeCell ref="G9:I9"/>
    <mergeCell ref="J9:L9"/>
    <mergeCell ref="G10:I10"/>
    <mergeCell ref="J10:L10"/>
    <mergeCell ref="A11:A12"/>
    <mergeCell ref="B14:M14"/>
    <mergeCell ref="G2:I2"/>
    <mergeCell ref="J2:L2"/>
    <mergeCell ref="G3:I3"/>
  </mergeCells>
  <pageMargins left="0.70866141732283472" right="0.70866141732283472" top="0.74803149606299213" bottom="0.74803149606299213" header="0.31496062992125984" footer="0.31496062992125984"/>
  <pageSetup paperSize="9" scale="49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29"/>
  <sheetViews>
    <sheetView topLeftCell="A19" zoomScaleNormal="100" workbookViewId="0">
      <selection activeCell="E34" sqref="E34"/>
    </sheetView>
  </sheetViews>
  <sheetFormatPr defaultRowHeight="15" x14ac:dyDescent="0.25"/>
  <cols>
    <col min="1" max="1" width="9.28515625" customWidth="1"/>
    <col min="2" max="2" width="23.28515625" customWidth="1"/>
    <col min="3" max="3" width="7" customWidth="1"/>
    <col min="4" max="4" width="14" customWidth="1"/>
    <col min="5" max="5" width="10.42578125" customWidth="1"/>
    <col min="6" max="6" width="22.7109375" customWidth="1"/>
    <col min="7" max="7" width="11" customWidth="1"/>
  </cols>
  <sheetData>
    <row r="1" spans="1:7" x14ac:dyDescent="0.25">
      <c r="A1" s="207" t="s">
        <v>130</v>
      </c>
      <c r="B1" s="207"/>
      <c r="C1" s="207"/>
      <c r="D1" s="207"/>
      <c r="E1" s="207"/>
      <c r="F1" s="207"/>
      <c r="G1" s="207"/>
    </row>
    <row r="2" spans="1:7" ht="25.5" x14ac:dyDescent="0.25">
      <c r="A2" s="197"/>
      <c r="B2" s="5"/>
      <c r="C2" s="197"/>
      <c r="D2" s="197"/>
      <c r="E2" s="197" t="s">
        <v>41</v>
      </c>
      <c r="F2" s="197" t="s">
        <v>131</v>
      </c>
      <c r="G2" s="197" t="s">
        <v>2</v>
      </c>
    </row>
    <row r="3" spans="1:7" ht="25.5" x14ac:dyDescent="0.25">
      <c r="A3" s="197" t="s">
        <v>19</v>
      </c>
      <c r="B3" s="5" t="s">
        <v>0</v>
      </c>
      <c r="C3" s="197" t="s">
        <v>1</v>
      </c>
      <c r="D3" s="197" t="s">
        <v>39</v>
      </c>
      <c r="E3" s="197" t="s">
        <v>42</v>
      </c>
      <c r="F3" s="197" t="s">
        <v>129</v>
      </c>
      <c r="G3" s="197"/>
    </row>
    <row r="4" spans="1:7" x14ac:dyDescent="0.25">
      <c r="A4" s="198">
        <v>1</v>
      </c>
      <c r="B4" s="209" t="s">
        <v>130</v>
      </c>
      <c r="C4" s="2" t="s">
        <v>3</v>
      </c>
      <c r="D4" s="2" t="s">
        <v>5</v>
      </c>
      <c r="E4" s="2">
        <f>Грунт!E4</f>
        <v>17.5</v>
      </c>
      <c r="F4" s="10">
        <f>E4*2+0.9*2</f>
        <v>36.799999999999997</v>
      </c>
      <c r="G4" s="208">
        <f>SUM(F4:F5)</f>
        <v>108</v>
      </c>
    </row>
    <row r="5" spans="1:7" x14ac:dyDescent="0.25">
      <c r="A5" s="198"/>
      <c r="B5" s="209"/>
      <c r="C5" s="2" t="s">
        <v>3</v>
      </c>
      <c r="D5" s="2" t="s">
        <v>13</v>
      </c>
      <c r="E5" s="2">
        <v>34.700000000000003</v>
      </c>
      <c r="F5" s="10">
        <f>E5*2+0.9*2</f>
        <v>71.2</v>
      </c>
      <c r="G5" s="208"/>
    </row>
    <row r="6" spans="1:7" x14ac:dyDescent="0.25">
      <c r="A6" s="9"/>
      <c r="B6" s="9"/>
      <c r="C6" s="9"/>
      <c r="D6" s="9"/>
      <c r="E6" s="19"/>
      <c r="F6" s="9"/>
      <c r="G6" s="9"/>
    </row>
    <row r="7" spans="1:7" x14ac:dyDescent="0.25">
      <c r="A7" s="207" t="s">
        <v>130</v>
      </c>
      <c r="B7" s="207"/>
      <c r="C7" s="207"/>
      <c r="D7" s="207"/>
      <c r="E7" s="207"/>
      <c r="F7" s="207"/>
      <c r="G7" s="207"/>
    </row>
    <row r="8" spans="1:7" ht="25.5" x14ac:dyDescent="0.25">
      <c r="A8" s="197"/>
      <c r="B8" s="5"/>
      <c r="C8" s="197"/>
      <c r="D8" s="197"/>
      <c r="E8" s="197" t="s">
        <v>41</v>
      </c>
      <c r="F8" s="197" t="s">
        <v>131</v>
      </c>
      <c r="G8" s="197" t="s">
        <v>2</v>
      </c>
    </row>
    <row r="9" spans="1:7" ht="25.5" x14ac:dyDescent="0.25">
      <c r="A9" s="197" t="s">
        <v>19</v>
      </c>
      <c r="B9" s="5" t="s">
        <v>0</v>
      </c>
      <c r="C9" s="197" t="s">
        <v>1</v>
      </c>
      <c r="D9" s="197" t="s">
        <v>39</v>
      </c>
      <c r="E9" s="197" t="s">
        <v>42</v>
      </c>
      <c r="F9" s="197" t="s">
        <v>129</v>
      </c>
      <c r="G9" s="197"/>
    </row>
    <row r="10" spans="1:7" x14ac:dyDescent="0.25">
      <c r="A10" s="198">
        <v>2</v>
      </c>
      <c r="B10" s="209" t="s">
        <v>130</v>
      </c>
      <c r="C10" s="2" t="s">
        <v>3</v>
      </c>
      <c r="D10" s="2" t="s">
        <v>5</v>
      </c>
      <c r="E10" s="2">
        <f>Грунт!E10</f>
        <v>54.2</v>
      </c>
      <c r="F10" s="10">
        <f>E10*2+0.9*2</f>
        <v>110.2</v>
      </c>
      <c r="G10" s="208">
        <f>SUM(F10:F11)</f>
        <v>155</v>
      </c>
    </row>
    <row r="11" spans="1:7" x14ac:dyDescent="0.25">
      <c r="A11" s="198"/>
      <c r="B11" s="209"/>
      <c r="C11" s="2" t="s">
        <v>3</v>
      </c>
      <c r="D11" s="2" t="s">
        <v>13</v>
      </c>
      <c r="E11" s="2">
        <f>Грунт!E11</f>
        <v>21.5</v>
      </c>
      <c r="F11" s="10">
        <f>E11*2+0.9*2</f>
        <v>44.8</v>
      </c>
      <c r="G11" s="208"/>
    </row>
    <row r="12" spans="1:7" x14ac:dyDescent="0.25">
      <c r="A12" s="9"/>
      <c r="B12" s="9"/>
      <c r="C12" s="9"/>
      <c r="D12" s="9"/>
      <c r="E12" s="2"/>
      <c r="F12" s="9"/>
      <c r="G12" s="9"/>
    </row>
    <row r="13" spans="1:7" x14ac:dyDescent="0.25">
      <c r="A13" s="207" t="s">
        <v>130</v>
      </c>
      <c r="B13" s="207"/>
      <c r="C13" s="207"/>
      <c r="D13" s="207"/>
      <c r="E13" s="207"/>
      <c r="F13" s="207"/>
      <c r="G13" s="207"/>
    </row>
    <row r="14" spans="1:7" ht="25.5" x14ac:dyDescent="0.25">
      <c r="A14" s="197"/>
      <c r="B14" s="5"/>
      <c r="C14" s="197"/>
      <c r="D14" s="197"/>
      <c r="E14" s="197" t="s">
        <v>41</v>
      </c>
      <c r="F14" s="197" t="s">
        <v>131</v>
      </c>
      <c r="G14" s="197" t="s">
        <v>2</v>
      </c>
    </row>
    <row r="15" spans="1:7" ht="25.5" x14ac:dyDescent="0.25">
      <c r="A15" s="197" t="s">
        <v>19</v>
      </c>
      <c r="B15" s="5" t="s">
        <v>0</v>
      </c>
      <c r="C15" s="197" t="s">
        <v>1</v>
      </c>
      <c r="D15" s="197" t="s">
        <v>39</v>
      </c>
      <c r="E15" s="197" t="s">
        <v>42</v>
      </c>
      <c r="F15" s="197" t="s">
        <v>129</v>
      </c>
      <c r="G15" s="197"/>
    </row>
    <row r="16" spans="1:7" x14ac:dyDescent="0.25">
      <c r="A16" s="198">
        <v>3</v>
      </c>
      <c r="B16" s="209" t="s">
        <v>130</v>
      </c>
      <c r="C16" s="2" t="s">
        <v>3</v>
      </c>
      <c r="D16" s="37" t="s">
        <v>5</v>
      </c>
      <c r="E16" s="2">
        <f>Грунт!E16</f>
        <v>42.9</v>
      </c>
      <c r="F16" s="10">
        <f>E16*2+0.9*2</f>
        <v>87.6</v>
      </c>
      <c r="G16" s="208">
        <f>SUM(F16:F19)</f>
        <v>244</v>
      </c>
    </row>
    <row r="17" spans="1:9" x14ac:dyDescent="0.25">
      <c r="A17" s="198"/>
      <c r="B17" s="209"/>
      <c r="C17" s="2" t="s">
        <v>3</v>
      </c>
      <c r="D17" s="2" t="s">
        <v>13</v>
      </c>
      <c r="E17" s="2">
        <f>Грунт!E17</f>
        <v>20.9</v>
      </c>
      <c r="F17" s="10">
        <f>E17*2+0.9*2</f>
        <v>43.599999999999994</v>
      </c>
      <c r="G17" s="208"/>
    </row>
    <row r="18" spans="1:9" x14ac:dyDescent="0.25">
      <c r="A18" s="198"/>
      <c r="B18" s="209"/>
      <c r="C18" s="2" t="s">
        <v>3</v>
      </c>
      <c r="D18" s="2" t="s">
        <v>16</v>
      </c>
      <c r="E18" s="2">
        <f>Грунт!E18</f>
        <v>12.5</v>
      </c>
      <c r="F18" s="10">
        <f t="shared" ref="F18:F19" si="0">E18*2+0.9*2</f>
        <v>26.8</v>
      </c>
      <c r="G18" s="208"/>
    </row>
    <row r="19" spans="1:9" x14ac:dyDescent="0.25">
      <c r="A19" s="198"/>
      <c r="B19" s="209"/>
      <c r="C19" s="2" t="s">
        <v>3</v>
      </c>
      <c r="D19" s="2" t="s">
        <v>17</v>
      </c>
      <c r="E19" s="2">
        <f>Грунт!E19</f>
        <v>42.1</v>
      </c>
      <c r="F19" s="10">
        <f t="shared" si="0"/>
        <v>86</v>
      </c>
      <c r="G19" s="208"/>
    </row>
    <row r="20" spans="1:9" x14ac:dyDescent="0.25">
      <c r="A20" s="9"/>
      <c r="B20" s="9"/>
      <c r="C20" s="9"/>
      <c r="D20" s="9"/>
      <c r="E20" s="2"/>
      <c r="F20" s="9"/>
      <c r="G20" s="9"/>
    </row>
    <row r="21" spans="1:9" x14ac:dyDescent="0.25">
      <c r="A21" s="207" t="s">
        <v>130</v>
      </c>
      <c r="B21" s="207"/>
      <c r="C21" s="207"/>
      <c r="D21" s="207"/>
      <c r="E21" s="207"/>
      <c r="F21" s="207"/>
      <c r="G21" s="207"/>
    </row>
    <row r="22" spans="1:9" ht="25.5" x14ac:dyDescent="0.25">
      <c r="A22" s="197"/>
      <c r="B22" s="5"/>
      <c r="C22" s="197"/>
      <c r="D22" s="197"/>
      <c r="E22" s="197" t="s">
        <v>41</v>
      </c>
      <c r="F22" s="197" t="s">
        <v>131</v>
      </c>
      <c r="G22" s="197" t="s">
        <v>2</v>
      </c>
    </row>
    <row r="23" spans="1:9" ht="25.5" x14ac:dyDescent="0.25">
      <c r="A23" s="197" t="s">
        <v>19</v>
      </c>
      <c r="B23" s="5" t="s">
        <v>0</v>
      </c>
      <c r="C23" s="197" t="s">
        <v>1</v>
      </c>
      <c r="D23" s="197" t="s">
        <v>39</v>
      </c>
      <c r="E23" s="197" t="s">
        <v>42</v>
      </c>
      <c r="F23" s="197" t="s">
        <v>129</v>
      </c>
      <c r="G23" s="197"/>
    </row>
    <row r="24" spans="1:9" x14ac:dyDescent="0.25">
      <c r="A24" s="198">
        <v>4</v>
      </c>
      <c r="B24" s="209" t="s">
        <v>130</v>
      </c>
      <c r="C24" s="2" t="s">
        <v>3</v>
      </c>
      <c r="D24" s="2" t="s">
        <v>5</v>
      </c>
      <c r="E24" s="2">
        <f>Грунт!E24</f>
        <v>80</v>
      </c>
      <c r="F24" s="10">
        <f>E24*2+0.9*2</f>
        <v>161.80000000000001</v>
      </c>
      <c r="G24" s="208">
        <f>SUM(F24:F26)</f>
        <v>329</v>
      </c>
    </row>
    <row r="25" spans="1:9" x14ac:dyDescent="0.25">
      <c r="A25" s="198"/>
      <c r="B25" s="209"/>
      <c r="C25" s="2" t="s">
        <v>3</v>
      </c>
      <c r="D25" s="2" t="s">
        <v>13</v>
      </c>
      <c r="E25" s="2">
        <f>Грунт!E25</f>
        <v>23.3</v>
      </c>
      <c r="F25" s="10">
        <f>E25*2+0.9*2</f>
        <v>48.4</v>
      </c>
      <c r="G25" s="208"/>
    </row>
    <row r="26" spans="1:9" x14ac:dyDescent="0.25">
      <c r="A26" s="198"/>
      <c r="B26" s="209"/>
      <c r="C26" s="2" t="s">
        <v>3</v>
      </c>
      <c r="D26" s="2" t="s">
        <v>16</v>
      </c>
      <c r="E26" s="2">
        <f>Грунт!E26</f>
        <v>58.5</v>
      </c>
      <c r="F26" s="10">
        <f t="shared" ref="F26" si="1">E26*2+0.9*2</f>
        <v>118.8</v>
      </c>
      <c r="G26" s="208"/>
    </row>
    <row r="27" spans="1:9" ht="15.75" thickBot="1" x14ac:dyDescent="0.3">
      <c r="E27" s="36"/>
    </row>
    <row r="28" spans="1:9" ht="15.75" thickBot="1" x14ac:dyDescent="0.3">
      <c r="E28" s="8">
        <f>SUM(E4:E26)</f>
        <v>408.1</v>
      </c>
      <c r="G28" s="8">
        <f>SUM(G4:G26)</f>
        <v>836</v>
      </c>
      <c r="I28" t="s">
        <v>132</v>
      </c>
    </row>
    <row r="29" spans="1:9" x14ac:dyDescent="0.25">
      <c r="E29" s="36"/>
    </row>
  </sheetData>
  <mergeCells count="16">
    <mergeCell ref="A24:A26"/>
    <mergeCell ref="B24:B26"/>
    <mergeCell ref="G24:G26"/>
    <mergeCell ref="A1:G1"/>
    <mergeCell ref="A4:A5"/>
    <mergeCell ref="B4:B5"/>
    <mergeCell ref="G4:G5"/>
    <mergeCell ref="A7:G7"/>
    <mergeCell ref="A10:A11"/>
    <mergeCell ref="B10:B11"/>
    <mergeCell ref="G10:G11"/>
    <mergeCell ref="A13:G13"/>
    <mergeCell ref="A16:A19"/>
    <mergeCell ref="B16:B19"/>
    <mergeCell ref="G16:G19"/>
    <mergeCell ref="A21:G21"/>
  </mergeCells>
  <pageMargins left="0.70866141732283472" right="0.70866141732283472" top="0.74803149606299213" bottom="0.74803149606299213" header="0.31496062992125984" footer="0.31496062992125984"/>
  <pageSetup paperSize="9" scale="8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10</vt:i4>
      </vt:variant>
    </vt:vector>
  </HeadingPairs>
  <TitlesOfParts>
    <vt:vector size="10" baseType="lpstr">
      <vt:lpstr>Грунт</vt:lpstr>
      <vt:lpstr>Щебень</vt:lpstr>
      <vt:lpstr>Подб_Роств</vt:lpstr>
      <vt:lpstr>Ростверки</vt:lpstr>
      <vt:lpstr>Обр_Засып_Роств</vt:lpstr>
      <vt:lpstr>Подб_Лотков</vt:lpstr>
      <vt:lpstr>Днище_Лотков</vt:lpstr>
      <vt:lpstr>Шпонка_Днища</vt:lpstr>
      <vt:lpstr>Стены_Лотков</vt:lpstr>
      <vt:lpstr>Шпонка_Стен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2021-04-20T07:06:35Z</dcterms:modified>
</cp:coreProperties>
</file>