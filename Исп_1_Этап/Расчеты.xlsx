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52" firstSheet="3" activeTab="3"/>
  </bookViews>
  <sheets>
    <sheet name="Грунт" sheetId="1" r:id="rId1"/>
    <sheet name="Щебень" sheetId="4" r:id="rId2"/>
    <sheet name="Подб_Роств" sheetId="6" r:id="rId3"/>
    <sheet name="Ростверки" sheetId="8" r:id="rId4"/>
    <sheet name="Обр_Засып_Роств" sheetId="12" r:id="rId5"/>
    <sheet name="Подб_Лотков" sheetId="9" r:id="rId6"/>
    <sheet name="Днище_Лотков" sheetId="10" r:id="rId7"/>
    <sheet name="Шпонка_Днища" sheetId="13" r:id="rId8"/>
    <sheet name="Стены_Лотков" sheetId="11" r:id="rId9"/>
    <sheet name="Шпонка_Стен" sheetId="14" r:id="rId10"/>
    <sheet name="Сводная " sheetId="7" r:id="rId11"/>
  </sheets>
  <calcPr calcId="162913"/>
</workbook>
</file>

<file path=xl/calcChain.xml><?xml version="1.0" encoding="utf-8"?>
<calcChain xmlns="http://schemas.openxmlformats.org/spreadsheetml/2006/main">
  <c r="F27" i="13" l="1"/>
  <c r="F26" i="13"/>
  <c r="F25" i="13"/>
  <c r="F20" i="13"/>
  <c r="F19" i="13"/>
  <c r="F18" i="13"/>
  <c r="F17" i="13"/>
  <c r="F12" i="13"/>
  <c r="F11" i="13"/>
  <c r="F10" i="13"/>
  <c r="F5" i="13"/>
  <c r="F4" i="13"/>
  <c r="F26" i="14"/>
  <c r="F27" i="14"/>
  <c r="F25" i="14"/>
  <c r="F18" i="14"/>
  <c r="F19" i="14"/>
  <c r="F20" i="14"/>
  <c r="F17" i="14"/>
  <c r="F11" i="14"/>
  <c r="F12" i="14"/>
  <c r="F10" i="14"/>
  <c r="F5" i="14"/>
  <c r="F4" i="14"/>
  <c r="E27" i="14" l="1"/>
  <c r="E26" i="14"/>
  <c r="E25" i="14"/>
  <c r="G25" i="14" s="1"/>
  <c r="E20" i="14"/>
  <c r="E19" i="14"/>
  <c r="E18" i="14"/>
  <c r="E17" i="14"/>
  <c r="E12" i="14"/>
  <c r="E11" i="14"/>
  <c r="E10" i="14"/>
  <c r="E5" i="14"/>
  <c r="E4" i="14"/>
  <c r="G4" i="14" s="1"/>
  <c r="E27" i="13"/>
  <c r="E26" i="13"/>
  <c r="E25" i="13"/>
  <c r="E20" i="13"/>
  <c r="E19" i="13"/>
  <c r="E18" i="13"/>
  <c r="E17" i="13"/>
  <c r="E12" i="13"/>
  <c r="E11" i="13"/>
  <c r="E10" i="13"/>
  <c r="E5" i="13"/>
  <c r="E4" i="13"/>
  <c r="G4" i="13" s="1"/>
  <c r="G17" i="14" l="1"/>
  <c r="G10" i="14"/>
  <c r="G29" i="14" s="1"/>
  <c r="E29" i="14"/>
  <c r="G10" i="13"/>
  <c r="G17" i="13"/>
  <c r="G25" i="13"/>
  <c r="E29" i="13"/>
  <c r="E4" i="1"/>
  <c r="G29" i="13" l="1"/>
  <c r="D35" i="12"/>
  <c r="D26" i="12"/>
  <c r="D7" i="12"/>
  <c r="F13" i="11" l="1"/>
  <c r="F12" i="11"/>
  <c r="F11" i="11"/>
  <c r="M13" i="11" l="1"/>
  <c r="M36" i="11"/>
  <c r="M12" i="11"/>
  <c r="M11" i="11"/>
  <c r="L36" i="11"/>
  <c r="L35" i="11"/>
  <c r="L34" i="11"/>
  <c r="L33" i="11"/>
  <c r="L26" i="11"/>
  <c r="L25" i="11"/>
  <c r="L22" i="11"/>
  <c r="L20" i="11"/>
  <c r="L19" i="11"/>
  <c r="L12" i="11"/>
  <c r="L13" i="11"/>
  <c r="L11" i="11"/>
  <c r="L5" i="11"/>
  <c r="L4" i="11"/>
  <c r="M17" i="7"/>
  <c r="M22" i="7"/>
  <c r="M21" i="7"/>
  <c r="M20" i="7"/>
  <c r="M16" i="7"/>
  <c r="M15" i="7"/>
  <c r="M14" i="7"/>
  <c r="M11" i="7"/>
  <c r="M10" i="7"/>
  <c r="M9" i="7"/>
  <c r="M6" i="7"/>
  <c r="M5" i="7"/>
  <c r="F12" i="9"/>
  <c r="D15" i="12"/>
  <c r="D16" i="12" s="1"/>
  <c r="D37" i="12" s="1"/>
  <c r="E12" i="8"/>
  <c r="E11" i="6"/>
  <c r="E26" i="10"/>
  <c r="E27" i="10"/>
  <c r="E25" i="10"/>
  <c r="E18" i="10"/>
  <c r="E20" i="10"/>
  <c r="E17" i="10"/>
  <c r="E11" i="10"/>
  <c r="E12" i="10"/>
  <c r="E5" i="10"/>
  <c r="E26" i="9"/>
  <c r="E27" i="9"/>
  <c r="E25" i="9"/>
  <c r="E18" i="9"/>
  <c r="E20" i="9"/>
  <c r="E17" i="9"/>
  <c r="E11" i="9"/>
  <c r="E12" i="9"/>
  <c r="E5" i="9"/>
  <c r="C33" i="12"/>
  <c r="C34" i="12"/>
  <c r="C32" i="12"/>
  <c r="C23" i="12"/>
  <c r="C25" i="12"/>
  <c r="C22" i="12"/>
  <c r="C14" i="12"/>
  <c r="C15" i="12"/>
  <c r="C6" i="12"/>
  <c r="E19" i="1"/>
  <c r="C24" i="12" s="1"/>
  <c r="E10" i="1"/>
  <c r="E10" i="9" s="1"/>
  <c r="E4" i="10"/>
  <c r="C13" i="12" l="1"/>
  <c r="E10" i="10"/>
  <c r="E19" i="9"/>
  <c r="E19" i="10"/>
  <c r="C5" i="12"/>
  <c r="E4" i="9"/>
  <c r="M14" i="11"/>
  <c r="L14" i="11"/>
  <c r="L6" i="11"/>
  <c r="Q11" i="11"/>
  <c r="Q19" i="11"/>
  <c r="Q4" i="11" l="1"/>
  <c r="Q21" i="11" s="1"/>
  <c r="G26" i="12" l="1"/>
  <c r="H26" i="12"/>
  <c r="G35" i="12"/>
  <c r="G37" i="12" s="1"/>
  <c r="H35" i="12"/>
  <c r="H37" i="12" s="1"/>
  <c r="G16" i="12"/>
  <c r="H16" i="12"/>
  <c r="G7" i="12"/>
  <c r="N22" i="7"/>
  <c r="N21" i="7"/>
  <c r="N20" i="7"/>
  <c r="N17" i="7"/>
  <c r="N16" i="7"/>
  <c r="N15" i="7"/>
  <c r="N14" i="7"/>
  <c r="N11" i="7"/>
  <c r="N10" i="7"/>
  <c r="N9" i="7"/>
  <c r="N6" i="7"/>
  <c r="H6" i="12" s="1"/>
  <c r="N5" i="7"/>
  <c r="H5" i="12" s="1"/>
  <c r="H7" i="12" s="1"/>
  <c r="F24" i="6" l="1"/>
  <c r="F23" i="6"/>
  <c r="F22" i="6"/>
  <c r="F16" i="6"/>
  <c r="F17" i="6"/>
  <c r="F18" i="6"/>
  <c r="F15" i="6"/>
  <c r="F11" i="6"/>
  <c r="F10" i="6"/>
  <c r="F9" i="6"/>
  <c r="F5" i="6"/>
  <c r="F4" i="6"/>
  <c r="F26" i="4"/>
  <c r="F27" i="4"/>
  <c r="F25" i="4"/>
  <c r="F18" i="4"/>
  <c r="F19" i="4"/>
  <c r="F20" i="4"/>
  <c r="F17" i="4"/>
  <c r="F12" i="4"/>
  <c r="F11" i="4"/>
  <c r="F10" i="4"/>
  <c r="F5" i="4"/>
  <c r="F4" i="4"/>
  <c r="Q4" i="7" l="1"/>
  <c r="P4" i="7"/>
  <c r="I11" i="11" l="1"/>
  <c r="J11" i="11" s="1"/>
  <c r="R9" i="7" s="1"/>
  <c r="I12" i="11"/>
  <c r="J12" i="11" s="1"/>
  <c r="R10" i="7" s="1"/>
  <c r="F23" i="11"/>
  <c r="I23" i="11"/>
  <c r="F21" i="11"/>
  <c r="I21" i="11" s="1"/>
  <c r="F20" i="11"/>
  <c r="M20" i="11" s="1"/>
  <c r="C21" i="11"/>
  <c r="F19" i="11"/>
  <c r="F5" i="11"/>
  <c r="F4" i="11"/>
  <c r="I13" i="11"/>
  <c r="J13" i="11" s="1"/>
  <c r="R11" i="7" s="1"/>
  <c r="C23" i="11"/>
  <c r="M21" i="11" l="1"/>
  <c r="L21" i="11"/>
  <c r="I4" i="11"/>
  <c r="J4" i="11" s="1"/>
  <c r="R5" i="7" s="1"/>
  <c r="R7" i="7" s="1"/>
  <c r="M4" i="11"/>
  <c r="I20" i="11"/>
  <c r="J20" i="11" s="1"/>
  <c r="I5" i="11"/>
  <c r="J5" i="11" s="1"/>
  <c r="R6" i="7" s="1"/>
  <c r="M5" i="11"/>
  <c r="M23" i="11"/>
  <c r="L23" i="11"/>
  <c r="I19" i="11"/>
  <c r="J19" i="11" s="1"/>
  <c r="R14" i="7" s="1"/>
  <c r="M19" i="11"/>
  <c r="R12" i="7"/>
  <c r="J23" i="11"/>
  <c r="J21" i="11"/>
  <c r="C24" i="11"/>
  <c r="F24" i="11"/>
  <c r="I24" i="11" s="1"/>
  <c r="F22" i="11"/>
  <c r="L24" i="11" l="1"/>
  <c r="L27" i="11" s="1"/>
  <c r="M24" i="11"/>
  <c r="M6" i="11"/>
  <c r="I22" i="11"/>
  <c r="J22" i="11" s="1"/>
  <c r="R15" i="7" s="1"/>
  <c r="M22" i="11"/>
  <c r="J24" i="11"/>
  <c r="R16" i="7" s="1"/>
  <c r="F35" i="11" l="1"/>
  <c r="M35" i="11" s="1"/>
  <c r="I35" i="11" l="1"/>
  <c r="J35" i="11" s="1"/>
  <c r="R21" i="7" s="1"/>
  <c r="F26" i="11"/>
  <c r="F25" i="11"/>
  <c r="I25" i="11" l="1"/>
  <c r="J25" i="11" s="1"/>
  <c r="M25" i="11"/>
  <c r="M27" i="11" s="1"/>
  <c r="I26" i="11"/>
  <c r="J26" i="11" s="1"/>
  <c r="R17" i="7" s="1"/>
  <c r="M26" i="11"/>
  <c r="C32" i="11"/>
  <c r="F33" i="11"/>
  <c r="F34" i="11"/>
  <c r="F32" i="11"/>
  <c r="I32" i="11" s="1"/>
  <c r="J36" i="11"/>
  <c r="R22" i="7" s="1"/>
  <c r="M32" i="11" l="1"/>
  <c r="L32" i="11"/>
  <c r="L37" i="11" s="1"/>
  <c r="L39" i="11" s="1"/>
  <c r="I34" i="11"/>
  <c r="J34" i="11" s="1"/>
  <c r="M34" i="11"/>
  <c r="I33" i="11"/>
  <c r="J33" i="11" s="1"/>
  <c r="M33" i="11"/>
  <c r="R18" i="7"/>
  <c r="J32" i="11"/>
  <c r="J6" i="11"/>
  <c r="J14" i="11"/>
  <c r="J27" i="11"/>
  <c r="L41" i="11" l="1"/>
  <c r="R20" i="7"/>
  <c r="M37" i="11"/>
  <c r="M39" i="11" s="1"/>
  <c r="J37" i="11"/>
  <c r="J39" i="11" s="1"/>
  <c r="R23" i="7"/>
  <c r="R25" i="7" s="1"/>
  <c r="K10" i="7"/>
  <c r="E14" i="12" s="1"/>
  <c r="F26" i="10"/>
  <c r="Q21" i="7" s="1"/>
  <c r="F27" i="10"/>
  <c r="Q22" i="7" s="1"/>
  <c r="F25" i="10"/>
  <c r="Q20" i="7" s="1"/>
  <c r="F18" i="10"/>
  <c r="Q15" i="7" s="1"/>
  <c r="F19" i="10"/>
  <c r="Q16" i="7" s="1"/>
  <c r="F20" i="10"/>
  <c r="Q17" i="7" s="1"/>
  <c r="F17" i="10"/>
  <c r="Q14" i="7" s="1"/>
  <c r="F11" i="10"/>
  <c r="Q10" i="7" s="1"/>
  <c r="F12" i="10"/>
  <c r="Q11" i="7" s="1"/>
  <c r="F10" i="10"/>
  <c r="Q9" i="7" s="1"/>
  <c r="Q12" i="7" s="1"/>
  <c r="F5" i="10"/>
  <c r="Q6" i="7" s="1"/>
  <c r="F4" i="10"/>
  <c r="Q5" i="7" s="1"/>
  <c r="E29" i="10"/>
  <c r="G26" i="9"/>
  <c r="P21" i="7" s="1"/>
  <c r="G27" i="9"/>
  <c r="P22" i="7" s="1"/>
  <c r="G25" i="9"/>
  <c r="P20" i="7" s="1"/>
  <c r="G18" i="9"/>
  <c r="P15" i="7" s="1"/>
  <c r="G19" i="9"/>
  <c r="P16" i="7" s="1"/>
  <c r="P18" i="7" s="1"/>
  <c r="G20" i="9"/>
  <c r="P17" i="7" s="1"/>
  <c r="G17" i="9"/>
  <c r="P14" i="7" s="1"/>
  <c r="G11" i="9"/>
  <c r="P10" i="7" s="1"/>
  <c r="G12" i="9"/>
  <c r="P11" i="7" s="1"/>
  <c r="G10" i="9"/>
  <c r="P9" i="7" s="1"/>
  <c r="G5" i="9"/>
  <c r="P6" i="7" s="1"/>
  <c r="G4" i="9"/>
  <c r="P5" i="7" s="1"/>
  <c r="F29" i="9"/>
  <c r="E29" i="9"/>
  <c r="Q20" i="1"/>
  <c r="F20" i="8"/>
  <c r="F27" i="8"/>
  <c r="F26" i="8"/>
  <c r="F25" i="8"/>
  <c r="F19" i="8"/>
  <c r="F18" i="8"/>
  <c r="F17" i="8"/>
  <c r="F12" i="8"/>
  <c r="F11" i="8"/>
  <c r="F10" i="8"/>
  <c r="F5" i="8"/>
  <c r="F4" i="8"/>
  <c r="E29" i="8"/>
  <c r="N28" i="1"/>
  <c r="N21" i="1"/>
  <c r="N13" i="1"/>
  <c r="N30" i="1" s="1"/>
  <c r="N6" i="1"/>
  <c r="J7" i="7"/>
  <c r="J12" i="7"/>
  <c r="J18" i="7"/>
  <c r="J23" i="7"/>
  <c r="E22" i="7"/>
  <c r="G22" i="7" s="1"/>
  <c r="H22" i="7" s="1"/>
  <c r="E21" i="7"/>
  <c r="G21" i="7" s="1"/>
  <c r="H21" i="7" s="1"/>
  <c r="E20" i="7"/>
  <c r="G20" i="7" s="1"/>
  <c r="H20" i="7" s="1"/>
  <c r="E17" i="7"/>
  <c r="G17" i="7" s="1"/>
  <c r="H17" i="7" s="1"/>
  <c r="E16" i="7"/>
  <c r="G16" i="7" s="1"/>
  <c r="H16" i="7" s="1"/>
  <c r="E15" i="7"/>
  <c r="G15" i="7" s="1"/>
  <c r="H15" i="7" s="1"/>
  <c r="E14" i="7"/>
  <c r="G14" i="7" s="1"/>
  <c r="H14" i="7" s="1"/>
  <c r="E11" i="7"/>
  <c r="G11" i="7" s="1"/>
  <c r="H11" i="7" s="1"/>
  <c r="E10" i="7"/>
  <c r="G10" i="7" s="1"/>
  <c r="H10" i="7" s="1"/>
  <c r="K9" i="7"/>
  <c r="E13" i="12" s="1"/>
  <c r="E9" i="7"/>
  <c r="G9" i="7" s="1"/>
  <c r="H9" i="7" s="1"/>
  <c r="E6" i="7"/>
  <c r="G6" i="7" s="1"/>
  <c r="H6" i="7" s="1"/>
  <c r="E5" i="7"/>
  <c r="G5" i="7" s="1"/>
  <c r="H5" i="7" s="1"/>
  <c r="G17" i="8" l="1"/>
  <c r="P7" i="7"/>
  <c r="G4" i="8"/>
  <c r="G25" i="8"/>
  <c r="Q23" i="7"/>
  <c r="Q18" i="7"/>
  <c r="Q7" i="7"/>
  <c r="P23" i="7"/>
  <c r="P12" i="7"/>
  <c r="G10" i="8"/>
  <c r="G29" i="8" s="1"/>
  <c r="G10" i="10"/>
  <c r="G25" i="10"/>
  <c r="G4" i="10"/>
  <c r="G17" i="10"/>
  <c r="G10" i="4"/>
  <c r="K11" i="7"/>
  <c r="H25" i="9"/>
  <c r="H17" i="9"/>
  <c r="H4" i="9"/>
  <c r="H10" i="9"/>
  <c r="N7" i="7"/>
  <c r="M23" i="7"/>
  <c r="M7" i="7"/>
  <c r="H12" i="7"/>
  <c r="M18" i="7"/>
  <c r="N18" i="7"/>
  <c r="M12" i="7"/>
  <c r="H18" i="7"/>
  <c r="H23" i="7"/>
  <c r="N23" i="7"/>
  <c r="N12" i="7"/>
  <c r="J25" i="7"/>
  <c r="H7" i="7"/>
  <c r="R4" i="1"/>
  <c r="R6" i="1" s="1"/>
  <c r="R5" i="1"/>
  <c r="R10" i="1"/>
  <c r="R11" i="1"/>
  <c r="R12" i="1"/>
  <c r="R17" i="1"/>
  <c r="R18" i="1"/>
  <c r="R19" i="1"/>
  <c r="R20" i="1"/>
  <c r="R25" i="1"/>
  <c r="R26" i="1"/>
  <c r="R27" i="1"/>
  <c r="Q27" i="1"/>
  <c r="Q26" i="1"/>
  <c r="Q25" i="1"/>
  <c r="Q18" i="1"/>
  <c r="Q19" i="1"/>
  <c r="Q17" i="1"/>
  <c r="Q12" i="1"/>
  <c r="Q11" i="1"/>
  <c r="Q10" i="1"/>
  <c r="Q13" i="1" s="1"/>
  <c r="Q5" i="1"/>
  <c r="Q4" i="1"/>
  <c r="Q6" i="1" s="1"/>
  <c r="P25" i="1"/>
  <c r="O12" i="1"/>
  <c r="E29" i="4"/>
  <c r="E26" i="6"/>
  <c r="O11" i="1"/>
  <c r="O10" i="1"/>
  <c r="K5" i="7"/>
  <c r="E5" i="12" s="1"/>
  <c r="L17" i="7"/>
  <c r="F25" i="12" s="1"/>
  <c r="L20" i="7"/>
  <c r="F32" i="12" s="1"/>
  <c r="L15" i="7"/>
  <c r="F23" i="12" s="1"/>
  <c r="L11" i="7"/>
  <c r="F15" i="12" s="1"/>
  <c r="L6" i="7"/>
  <c r="F6" i="12" s="1"/>
  <c r="L5" i="7"/>
  <c r="F5" i="12" s="1"/>
  <c r="F7" i="12" s="1"/>
  <c r="H27" i="1"/>
  <c r="H26" i="1"/>
  <c r="H25" i="1"/>
  <c r="H20" i="1"/>
  <c r="K20" i="1" s="1"/>
  <c r="L20" i="1" s="1"/>
  <c r="H19" i="1"/>
  <c r="K19" i="1" s="1"/>
  <c r="L19" i="1" s="1"/>
  <c r="H18" i="1"/>
  <c r="K18" i="1" s="1"/>
  <c r="H17" i="1"/>
  <c r="L18" i="1"/>
  <c r="H12" i="1"/>
  <c r="H11" i="1"/>
  <c r="H10" i="1"/>
  <c r="H5" i="1"/>
  <c r="H4" i="1"/>
  <c r="K10" i="1" l="1"/>
  <c r="L10" i="1" s="1"/>
  <c r="K27" i="1"/>
  <c r="L27" i="1" s="1"/>
  <c r="F35" i="12"/>
  <c r="R13" i="1"/>
  <c r="K11" i="1"/>
  <c r="L11" i="1" s="1"/>
  <c r="K4" i="1"/>
  <c r="L4" i="1" s="1"/>
  <c r="K12" i="1"/>
  <c r="L12" i="1" s="1"/>
  <c r="K17" i="1"/>
  <c r="L17" i="1" s="1"/>
  <c r="L21" i="1" s="1"/>
  <c r="K25" i="1"/>
  <c r="L25" i="1" s="1"/>
  <c r="K5" i="1"/>
  <c r="L5" i="1" s="1"/>
  <c r="K26" i="1"/>
  <c r="L26" i="1" s="1"/>
  <c r="K12" i="7"/>
  <c r="E15" i="12"/>
  <c r="E16" i="12" s="1"/>
  <c r="Q25" i="7"/>
  <c r="P25" i="7"/>
  <c r="R28" i="1"/>
  <c r="R21" i="1"/>
  <c r="L7" i="7"/>
  <c r="P11" i="1"/>
  <c r="L10" i="7"/>
  <c r="O5" i="7"/>
  <c r="I5" i="12" s="1"/>
  <c r="P20" i="1"/>
  <c r="P17" i="1"/>
  <c r="L14" i="7"/>
  <c r="F22" i="12" s="1"/>
  <c r="F26" i="12" s="1"/>
  <c r="P27" i="1"/>
  <c r="L22" i="7"/>
  <c r="F34" i="12" s="1"/>
  <c r="P12" i="1"/>
  <c r="S12" i="1" s="1"/>
  <c r="P10" i="1"/>
  <c r="S10" i="1" s="1"/>
  <c r="L9" i="7"/>
  <c r="F13" i="12" s="1"/>
  <c r="P19" i="1"/>
  <c r="L16" i="7"/>
  <c r="F24" i="12" s="1"/>
  <c r="P26" i="1"/>
  <c r="L21" i="7"/>
  <c r="F33" i="12" s="1"/>
  <c r="P4" i="1"/>
  <c r="P5" i="1"/>
  <c r="G29" i="10"/>
  <c r="O4" i="1"/>
  <c r="K17" i="7"/>
  <c r="O20" i="1"/>
  <c r="O18" i="1"/>
  <c r="K15" i="7"/>
  <c r="O17" i="1"/>
  <c r="K14" i="7"/>
  <c r="E22" i="12" s="1"/>
  <c r="O25" i="1"/>
  <c r="S25" i="1" s="1"/>
  <c r="K20" i="7"/>
  <c r="E32" i="12" s="1"/>
  <c r="O11" i="7"/>
  <c r="I15" i="12" s="1"/>
  <c r="O5" i="1"/>
  <c r="K6" i="7"/>
  <c r="O27" i="1"/>
  <c r="K22" i="7"/>
  <c r="O19" i="1"/>
  <c r="K16" i="7"/>
  <c r="E24" i="12" s="1"/>
  <c r="O26" i="1"/>
  <c r="K21" i="7"/>
  <c r="E33" i="12" s="1"/>
  <c r="H29" i="9"/>
  <c r="M25" i="7"/>
  <c r="N25" i="7"/>
  <c r="H25" i="7"/>
  <c r="Q21" i="1"/>
  <c r="Q28" i="1"/>
  <c r="O13" i="1"/>
  <c r="G22" i="6"/>
  <c r="G15" i="6"/>
  <c r="G4" i="6"/>
  <c r="P18" i="1"/>
  <c r="G9" i="6"/>
  <c r="G4" i="4"/>
  <c r="G25" i="4"/>
  <c r="G17" i="4"/>
  <c r="L6" i="1" l="1"/>
  <c r="L28" i="1"/>
  <c r="L30" i="1" s="1"/>
  <c r="L13" i="1"/>
  <c r="O6" i="7"/>
  <c r="I6" i="12" s="1"/>
  <c r="I7" i="12" s="1"/>
  <c r="E6" i="12"/>
  <c r="E7" i="12" s="1"/>
  <c r="O10" i="7"/>
  <c r="I14" i="12" s="1"/>
  <c r="F14" i="12"/>
  <c r="F16" i="12" s="1"/>
  <c r="F37" i="12" s="1"/>
  <c r="O22" i="7"/>
  <c r="I34" i="12" s="1"/>
  <c r="E34" i="12"/>
  <c r="O17" i="7"/>
  <c r="I25" i="12" s="1"/>
  <c r="E25" i="12"/>
  <c r="E26" i="12" s="1"/>
  <c r="R30" i="1"/>
  <c r="S26" i="1"/>
  <c r="E35" i="12"/>
  <c r="E37" i="12" s="1"/>
  <c r="O15" i="7"/>
  <c r="I23" i="12" s="1"/>
  <c r="E23" i="12"/>
  <c r="O29" i="7"/>
  <c r="S5" i="1"/>
  <c r="S27" i="1"/>
  <c r="S28" i="1" s="1"/>
  <c r="S4" i="1"/>
  <c r="S19" i="1"/>
  <c r="S20" i="1"/>
  <c r="P13" i="1"/>
  <c r="P21" i="1"/>
  <c r="S11" i="1"/>
  <c r="S13" i="1" s="1"/>
  <c r="L23" i="7"/>
  <c r="O16" i="7"/>
  <c r="I24" i="12" s="1"/>
  <c r="P28" i="1"/>
  <c r="L18" i="7"/>
  <c r="L12" i="7"/>
  <c r="O9" i="7"/>
  <c r="O7" i="7"/>
  <c r="G26" i="6"/>
  <c r="O21" i="7"/>
  <c r="I33" i="12" s="1"/>
  <c r="P6" i="1"/>
  <c r="O28" i="1"/>
  <c r="O6" i="1"/>
  <c r="O21" i="1"/>
  <c r="S17" i="1"/>
  <c r="O14" i="7"/>
  <c r="I22" i="12" s="1"/>
  <c r="I26" i="12" s="1"/>
  <c r="K18" i="7"/>
  <c r="K23" i="7"/>
  <c r="O20" i="7"/>
  <c r="I32" i="12" s="1"/>
  <c r="K7" i="7"/>
  <c r="Q30" i="1"/>
  <c r="S18" i="1"/>
  <c r="G29" i="4"/>
  <c r="I35" i="12" l="1"/>
  <c r="S6" i="1"/>
  <c r="O12" i="7"/>
  <c r="I13" i="12"/>
  <c r="I16" i="12" s="1"/>
  <c r="I37" i="12" s="1"/>
  <c r="P30" i="1"/>
  <c r="L25" i="7"/>
  <c r="O28" i="7" s="1"/>
  <c r="O30" i="7" s="1"/>
  <c r="O18" i="7"/>
  <c r="O23" i="7"/>
  <c r="O30" i="1"/>
  <c r="S21" i="1"/>
  <c r="S30" i="1" s="1"/>
  <c r="K25" i="7"/>
  <c r="O25" i="7" l="1"/>
</calcChain>
</file>

<file path=xl/sharedStrings.xml><?xml version="1.0" encoding="utf-8"?>
<sst xmlns="http://schemas.openxmlformats.org/spreadsheetml/2006/main" count="1001" uniqueCount="121">
  <si>
    <t>Наименование работ</t>
  </si>
  <si>
    <t>Ед. изм.</t>
  </si>
  <si>
    <t>Всего</t>
  </si>
  <si>
    <t>м3</t>
  </si>
  <si>
    <t>Выемка грунта класса V,  Vth class soil excavation</t>
  </si>
  <si>
    <t>Захватка 1</t>
  </si>
  <si>
    <t>hср=</t>
  </si>
  <si>
    <t>Длина лотка L, м</t>
  </si>
  <si>
    <t>V=Sср*L</t>
  </si>
  <si>
    <t>Средняя высота hср, м</t>
  </si>
  <si>
    <t xml:space="preserve"> Sср=(Lверх.+Lниза)/2*hср </t>
  </si>
  <si>
    <t xml:space="preserve"> hср=(hmin+hmax)/2-hсущ.</t>
  </si>
  <si>
    <t xml:space="preserve"> Sср=</t>
  </si>
  <si>
    <t>Захватка 2</t>
  </si>
  <si>
    <t>(2.77+1.808)/2-0.34=</t>
  </si>
  <si>
    <t>(1.835+1.657)/2-0.34=</t>
  </si>
  <si>
    <t>Вычисления, Calculation     Сечение, м2</t>
  </si>
  <si>
    <t>Объем, м3</t>
  </si>
  <si>
    <t>(3.170+2.505)/2-0.34=</t>
  </si>
  <si>
    <t>(1.948+1.659)/2-0.34=</t>
  </si>
  <si>
    <t>(1.900+1.650)/2-0.34=</t>
  </si>
  <si>
    <t>Захватка 3</t>
  </si>
  <si>
    <t>Захватка 4</t>
  </si>
  <si>
    <t>(3.179+2.107)/2-0.34=</t>
  </si>
  <si>
    <t>(2.371+1.657)/2-0.34=</t>
  </si>
  <si>
    <t>(2.455+1.708)/2-0.34=</t>
  </si>
  <si>
    <t>(2.948+2.733)/2-0.34=</t>
  </si>
  <si>
    <t>(2.919+2.109)/2-0.34=</t>
  </si>
  <si>
    <t>(2.590+1.958)/2-0.34=</t>
  </si>
  <si>
    <t>(1.733+1.658)/2-0.34=</t>
  </si>
  <si>
    <t>Устройство основания из щебня</t>
  </si>
  <si>
    <t>Вычисления, Calculation     Объем , м3</t>
  </si>
  <si>
    <t>№ участка</t>
  </si>
  <si>
    <t>Бетонное основание</t>
  </si>
  <si>
    <t>Ростверки</t>
  </si>
  <si>
    <t>Ростверки шт</t>
  </si>
  <si>
    <t>Бетонное основание, B 7.5, W6, толщ. 100 мм/Concrete bed, B 7.5, W6, th. 100 mm</t>
  </si>
  <si>
    <t>V=0.100*1.300*1.600*N</t>
  </si>
  <si>
    <t>N</t>
  </si>
  <si>
    <t>V=0.200*1.700*2.000*N</t>
  </si>
  <si>
    <t>Щебень</t>
  </si>
  <si>
    <t>Бетон Роств</t>
  </si>
  <si>
    <t>Обратная засыпка</t>
  </si>
  <si>
    <t>Подб_Роств</t>
  </si>
  <si>
    <t>V=0.900*1.200*0.600*N</t>
  </si>
  <si>
    <t>Vгр=(2.500+3.700)/2*0.800*L</t>
  </si>
  <si>
    <t>шт</t>
  </si>
  <si>
    <t xml:space="preserve">Расчет выемки грунта при устройстве лотков </t>
  </si>
  <si>
    <t>V=1.200*0.900*0.600</t>
  </si>
  <si>
    <t>Vщеб, м3</t>
  </si>
  <si>
    <t>Vподб м3</t>
  </si>
  <si>
    <t>V=Vгр -Vщеб-Vподб-Vроств</t>
  </si>
  <si>
    <t>Vгр, м3</t>
  </si>
  <si>
    <t>Vроств, м3</t>
  </si>
  <si>
    <t>Захватки</t>
  </si>
  <si>
    <t>ИТОГО/TOTAL</t>
  </si>
  <si>
    <t>Устройство основания из щебня фракции 20-40 ГОСТ 54748-2011 толщиной 200 мм/ Installation of base of gravel fr. 20-40 GOST 54748-2011 100 mm thick</t>
  </si>
  <si>
    <t>Бетонирование ростверков</t>
  </si>
  <si>
    <t>L</t>
  </si>
  <si>
    <t>м</t>
  </si>
  <si>
    <t>V=(1.5*L-0.9*1.2*N)*0.1</t>
  </si>
  <si>
    <t>Бетонное основание лотков, B 7.5, W6, толщ. 100 мм/Concrete bed, B 7.5, W6, th. 100 mm</t>
  </si>
  <si>
    <t>V=0.9*0.3*L</t>
  </si>
  <si>
    <t>Бетонирование днища лотков</t>
  </si>
  <si>
    <t>V=0.900*1.200*0.500*N</t>
  </si>
  <si>
    <t xml:space="preserve"> высота стенок</t>
  </si>
  <si>
    <t xml:space="preserve"> hср=(hmin+hmax)/2-0.250</t>
  </si>
  <si>
    <t>(0.918+0.600)/2-0.250=</t>
  </si>
  <si>
    <t xml:space="preserve"> S=0.200*2*hср </t>
  </si>
  <si>
    <t>0.200*2*hср =</t>
  </si>
  <si>
    <t>(1.419+1.103)/2-0.250=</t>
  </si>
  <si>
    <t>(1.500+1.762)/2-0.500=</t>
  </si>
  <si>
    <t>(1.500+1.762)/2-0.600=</t>
  </si>
  <si>
    <t>0.200*hср =</t>
  </si>
  <si>
    <t>0.550*hср =</t>
  </si>
  <si>
    <t>(0.450+0.787)/2-0.250=</t>
  </si>
  <si>
    <t>(0.900+1.356)/2-0.250=</t>
  </si>
  <si>
    <t>(0.500+1.230)/2-0.250=</t>
  </si>
  <si>
    <t>(0.450+0.968)/2-0.250=</t>
  </si>
  <si>
    <t xml:space="preserve">Расчет обратной засыпки ростверков при устройстве лотков </t>
  </si>
  <si>
    <t>Расчеты</t>
  </si>
  <si>
    <t>(0.600+1.569)/2-0.250=</t>
  </si>
  <si>
    <t>(0.450+0.700)/2-0.250=</t>
  </si>
  <si>
    <t>(1.795+1.978)/2-0.250=</t>
  </si>
  <si>
    <r>
      <t>(1.356+1.795)/2-</t>
    </r>
    <r>
      <rPr>
        <sz val="10"/>
        <color rgb="FFFF0000"/>
        <rFont val="Times New Roman"/>
        <family val="1"/>
        <charset val="204"/>
      </rPr>
      <t>0.500</t>
    </r>
    <r>
      <rPr>
        <sz val="10"/>
        <rFont val="Times New Roman"/>
        <family val="1"/>
        <charset val="204"/>
      </rPr>
      <t>=</t>
    </r>
  </si>
  <si>
    <r>
      <t>(0.968+1.214)/2-</t>
    </r>
    <r>
      <rPr>
        <sz val="10"/>
        <color rgb="FFFF0000"/>
        <rFont val="Times New Roman"/>
        <family val="1"/>
        <charset val="204"/>
      </rPr>
      <t>0.500</t>
    </r>
    <r>
      <rPr>
        <sz val="10"/>
        <rFont val="Times New Roman"/>
        <family val="1"/>
        <charset val="204"/>
      </rPr>
      <t>=</t>
    </r>
  </si>
  <si>
    <t>(0.450+0.810)/2-0.250=</t>
  </si>
  <si>
    <t>(0.450+0.740)/2-0.250=</t>
  </si>
  <si>
    <t>(1.300+1.969)/2-0.250=</t>
  </si>
  <si>
    <r>
      <t>(1.103+0.918)/2-</t>
    </r>
    <r>
      <rPr>
        <sz val="10"/>
        <color rgb="FFFF0000"/>
        <rFont val="Times New Roman"/>
        <family val="1"/>
        <charset val="204"/>
      </rPr>
      <t>0.500</t>
    </r>
    <r>
      <rPr>
        <sz val="10"/>
        <rFont val="Times New Roman"/>
        <family val="1"/>
        <charset val="204"/>
      </rPr>
      <t>=</t>
    </r>
  </si>
  <si>
    <t>Подб_Лотков</t>
  </si>
  <si>
    <t>Днище_Лотков</t>
  </si>
  <si>
    <t>Стены_Лотков</t>
  </si>
  <si>
    <t>V=0.200*2*hср *L</t>
  </si>
  <si>
    <t>Подбетонка:</t>
  </si>
  <si>
    <t>Бетон:</t>
  </si>
  <si>
    <t>V=0.200*1.500*1.800*N</t>
  </si>
  <si>
    <t>V=0.100*1.100*1.400*N</t>
  </si>
  <si>
    <t>(5.100+2.100)/2*hср=</t>
  </si>
  <si>
    <t>Vгр=(2.100+3.300)/2*0.800*L</t>
  </si>
  <si>
    <t>Придатки, шт</t>
  </si>
  <si>
    <t>Длина, м</t>
  </si>
  <si>
    <r>
      <t>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</si>
  <si>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Гидроизоляция</t>
  </si>
  <si>
    <r>
      <t>S, 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</si>
  <si>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t>S=2*(L*1.5+L*h_днища+2*L*h_стен+2*L*h_усилен)</t>
  </si>
  <si>
    <t>Гидроизоляция подб</t>
  </si>
  <si>
    <t>S=2_слоя*L*1.5</t>
  </si>
  <si>
    <t>S=2_слоя*L(2*h_днища+2*h_стен+2*h_усилен)</t>
  </si>
  <si>
    <t>Гидроизоляция стен</t>
  </si>
  <si>
    <r>
      <t>S, м</t>
    </r>
    <r>
      <rPr>
        <b/>
        <vertAlign val="superscript"/>
        <sz val="10"/>
        <rFont val="Times New Roman"/>
        <family val="1"/>
        <charset val="204"/>
      </rPr>
      <t>2</t>
    </r>
  </si>
  <si>
    <t>Бетонирование днища лотков, B 25, W8, толщ. 300 мм/Concrete bed, B 25, W8, th. 300 mm</t>
  </si>
  <si>
    <t>Гидрошпонка днища лотков</t>
  </si>
  <si>
    <t>Гидрошпонка стен лотков</t>
  </si>
  <si>
    <t>Вычисления, Calculation     Длина , м</t>
  </si>
  <si>
    <t>Lшп=L*2+0,7*12</t>
  </si>
  <si>
    <t>Lшп=L*2+0,7*24</t>
  </si>
  <si>
    <t>Lшп=L*2+0,7*8</t>
  </si>
  <si>
    <t>Lшп=L*2+0,7*6</t>
  </si>
  <si>
    <t>Бетонирование ростверков B30 W12</t>
  </si>
  <si>
    <t>Расчет  бетонирования стен лотков B25, 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</si>
</sst>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\ _₽_-;\-* #,##0\ _₽_-;_-* &quot;-&quot;\ _₽_-;_-@_-"/>
    <numFmt numFmtId="164" formatCode="#,##0.00_ ;[Red]\-#,##0.00\ "/>
    <numFmt numFmtId="165" formatCode="0.0"/>
    <numFmt numFmtId="166" formatCode="#,##0_ ;[Red]\-#,##0\ "/>
    <numFmt numFmtId="167" formatCode="#,##0.0_ ;[Red]\-#,##0.0\ "/>
    <numFmt numFmtId="168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name val="Calibri"/>
      <family val="2"/>
      <scheme val="minor"/>
    </font>
    <font>
      <b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b/>
      <vertAlign val="superscript"/>
      <sz val="10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vertAlign val="superscript"/>
      <sz val="10"/>
      <name val="Times New Roman"/>
      <family val="1"/>
      <charset val="204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2" fontId="3" fillId="0" borderId="1" xfId="0" quotePrefix="1" applyNumberFormat="1" applyFont="1" applyFill="1" applyBorder="1" applyAlignment="1">
      <alignment horizontal="center" vertical="center" wrapText="1"/>
    </xf>
    <xf numFmtId="41" fontId="5" fillId="0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0" fillId="0" borderId="1" xfId="0" applyBorder="1"/>
    <xf numFmtId="165" fontId="4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166" fontId="2" fillId="0" borderId="4" xfId="0" applyNumberFormat="1" applyFont="1" applyBorder="1"/>
    <xf numFmtId="41" fontId="3" fillId="0" borderId="1" xfId="1" applyFont="1" applyFill="1" applyBorder="1" applyAlignment="1">
      <alignment horizontal="center" vertical="center" wrapText="1" shrinkToFit="1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3" fillId="0" borderId="2" xfId="0" applyFont="1" applyBorder="1"/>
    <xf numFmtId="165" fontId="5" fillId="0" borderId="4" xfId="0" applyNumberFormat="1" applyFont="1" applyBorder="1"/>
    <xf numFmtId="0" fontId="3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0" xfId="0" applyFont="1" applyBorder="1"/>
    <xf numFmtId="165" fontId="5" fillId="0" borderId="0" xfId="0" applyNumberFormat="1" applyFont="1" applyBorder="1"/>
    <xf numFmtId="0" fontId="3" fillId="0" borderId="0" xfId="0" applyFont="1"/>
    <xf numFmtId="166" fontId="5" fillId="0" borderId="4" xfId="0" applyNumberFormat="1" applyFont="1" applyBorder="1"/>
    <xf numFmtId="1" fontId="5" fillId="0" borderId="4" xfId="0" applyNumberFormat="1" applyFont="1" applyBorder="1"/>
    <xf numFmtId="167" fontId="5" fillId="0" borderId="4" xfId="0" applyNumberFormat="1" applyFont="1" applyBorder="1"/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2" fontId="3" fillId="0" borderId="1" xfId="0" quotePrefix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" fontId="3" fillId="0" borderId="8" xfId="0" quotePrefix="1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7" fillId="0" borderId="7" xfId="0" applyFont="1" applyBorder="1" applyAlignment="1"/>
    <xf numFmtId="167" fontId="5" fillId="0" borderId="12" xfId="0" applyNumberFormat="1" applyFont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0" xfId="0" applyFont="1" applyBorder="1"/>
    <xf numFmtId="0" fontId="4" fillId="0" borderId="1" xfId="0" applyFont="1" applyFill="1" applyBorder="1" applyAlignment="1">
      <alignment horizontal="center" vertical="center" wrapText="1"/>
    </xf>
    <xf numFmtId="2" fontId="4" fillId="0" borderId="1" xfId="0" quotePrefix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/>
    <xf numFmtId="165" fontId="11" fillId="0" borderId="1" xfId="0" applyNumberFormat="1" applyFont="1" applyFill="1" applyBorder="1"/>
    <xf numFmtId="0" fontId="11" fillId="0" borderId="1" xfId="0" applyFont="1" applyFill="1" applyBorder="1" applyAlignment="1">
      <alignment horizontal="center" vertical="center" wrapText="1"/>
    </xf>
    <xf numFmtId="0" fontId="11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165" fontId="5" fillId="0" borderId="15" xfId="0" applyNumberFormat="1" applyFont="1" applyBorder="1"/>
    <xf numFmtId="167" fontId="5" fillId="0" borderId="15" xfId="0" applyNumberFormat="1" applyFont="1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7" fontId="5" fillId="3" borderId="4" xfId="0" applyNumberFormat="1" applyFont="1" applyFill="1" applyBorder="1"/>
    <xf numFmtId="167" fontId="5" fillId="3" borderId="15" xfId="0" applyNumberFormat="1" applyFont="1" applyFill="1" applyBorder="1"/>
    <xf numFmtId="167" fontId="5" fillId="4" borderId="4" xfId="0" applyNumberFormat="1" applyFont="1" applyFill="1" applyBorder="1"/>
    <xf numFmtId="167" fontId="5" fillId="4" borderId="15" xfId="0" applyNumberFormat="1" applyFont="1" applyFill="1" applyBorder="1"/>
    <xf numFmtId="0" fontId="0" fillId="3" borderId="1" xfId="0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7" fontId="2" fillId="0" borderId="0" xfId="0" applyNumberFormat="1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4" xfId="0" applyNumberFormat="1" applyFont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167" fontId="2" fillId="0" borderId="4" xfId="0" applyNumberFormat="1" applyFont="1" applyBorder="1"/>
    <xf numFmtId="0" fontId="14" fillId="0" borderId="1" xfId="0" applyFon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65" fontId="0" fillId="0" borderId="1" xfId="0" applyNumberFormat="1" applyBorder="1"/>
    <xf numFmtId="165" fontId="2" fillId="0" borderId="4" xfId="0" applyNumberFormat="1" applyFont="1" applyBorder="1"/>
    <xf numFmtId="0" fontId="14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65" fontId="0" fillId="0" borderId="0" xfId="0" applyNumberFormat="1" applyBorder="1"/>
    <xf numFmtId="165" fontId="11" fillId="0" borderId="0" xfId="0" applyNumberFormat="1" applyFont="1" applyFill="1" applyBorder="1"/>
    <xf numFmtId="0" fontId="5" fillId="0" borderId="0" xfId="1" applyNumberFormat="1" applyFont="1" applyFill="1" applyBorder="1" applyAlignment="1">
      <alignment horizontal="center" vertical="center" wrapText="1"/>
    </xf>
    <xf numFmtId="165" fontId="2" fillId="0" borderId="0" xfId="0" applyNumberFormat="1" applyFont="1" applyBorder="1"/>
    <xf numFmtId="168" fontId="4" fillId="0" borderId="1" xfId="0" quotePrefix="1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/>
    </xf>
    <xf numFmtId="0" fontId="16" fillId="0" borderId="0" xfId="0" applyFont="1"/>
    <xf numFmtId="165" fontId="18" fillId="0" borderId="4" xfId="0" applyNumberFormat="1" applyFont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 shrinkToFit="1"/>
    </xf>
    <xf numFmtId="41" fontId="3" fillId="0" borderId="8" xfId="1" applyFont="1" applyFill="1" applyBorder="1" applyAlignment="1">
      <alignment horizontal="center" vertical="center" wrapText="1" shrinkToFit="1"/>
    </xf>
    <xf numFmtId="41" fontId="3" fillId="0" borderId="9" xfId="1" applyFont="1" applyFill="1" applyBorder="1" applyAlignment="1">
      <alignment horizontal="center" vertical="center" wrapText="1" shrinkToFit="1"/>
    </xf>
    <xf numFmtId="41" fontId="3" fillId="0" borderId="6" xfId="1" applyFont="1" applyFill="1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4" fontId="5" fillId="0" borderId="8" xfId="1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 wrapText="1"/>
    </xf>
    <xf numFmtId="164" fontId="5" fillId="0" borderId="6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0"/>
  <sheetViews>
    <sheetView topLeftCell="H19" zoomScaleNormal="100" workbookViewId="0">
      <selection activeCell="N32" sqref="N32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5" width="10.44140625" customWidth="1"/>
    <col min="6" max="6" width="5.33203125" customWidth="1"/>
    <col min="7" max="7" width="18.88671875" customWidth="1"/>
    <col min="8" max="9" width="5.33203125" customWidth="1"/>
    <col min="10" max="10" width="17.44140625" customWidth="1"/>
    <col min="11" max="11" width="5.33203125" customWidth="1"/>
    <col min="12" max="12" width="17.44140625" customWidth="1"/>
    <col min="13" max="13" width="5.5546875" customWidth="1"/>
    <col min="14" max="16" width="12.6640625" customWidth="1"/>
    <col min="17" max="17" width="23" customWidth="1"/>
    <col min="18" max="18" width="25.6640625" customWidth="1"/>
    <col min="19" max="19" width="37.109375" customWidth="1"/>
  </cols>
  <sheetData>
    <row r="1" spans="1:20" x14ac:dyDescent="0.3">
      <c r="A1" s="14"/>
      <c r="B1" s="44"/>
      <c r="C1" s="14"/>
      <c r="D1" s="117" t="s">
        <v>47</v>
      </c>
      <c r="E1" s="117"/>
      <c r="F1" s="117"/>
      <c r="G1" s="117"/>
      <c r="H1" s="117"/>
      <c r="I1" s="117"/>
      <c r="J1" s="117"/>
      <c r="K1" s="117"/>
      <c r="L1" s="117"/>
      <c r="M1" s="14"/>
      <c r="N1" s="20" t="s">
        <v>34</v>
      </c>
      <c r="O1" s="20" t="s">
        <v>40</v>
      </c>
      <c r="P1" s="20" t="s">
        <v>43</v>
      </c>
      <c r="Q1" s="20" t="s">
        <v>41</v>
      </c>
      <c r="R1" s="118" t="s">
        <v>42</v>
      </c>
      <c r="S1" s="118"/>
    </row>
    <row r="2" spans="1:20" ht="26.1" customHeight="1" x14ac:dyDescent="0.3">
      <c r="A2" s="6"/>
      <c r="B2" s="5"/>
      <c r="C2" s="6"/>
      <c r="D2" s="6"/>
      <c r="E2" s="6"/>
      <c r="F2" s="112" t="s">
        <v>9</v>
      </c>
      <c r="G2" s="113"/>
      <c r="H2" s="114"/>
      <c r="I2" s="112" t="s">
        <v>16</v>
      </c>
      <c r="J2" s="113"/>
      <c r="K2" s="114"/>
      <c r="L2" s="7" t="s">
        <v>17</v>
      </c>
      <c r="M2" s="14"/>
      <c r="N2" s="22" t="s">
        <v>46</v>
      </c>
      <c r="O2" s="22" t="s">
        <v>49</v>
      </c>
      <c r="P2" s="22" t="s">
        <v>50</v>
      </c>
      <c r="Q2" s="7" t="s">
        <v>53</v>
      </c>
      <c r="R2" s="7" t="s">
        <v>52</v>
      </c>
      <c r="S2" s="7" t="s">
        <v>17</v>
      </c>
      <c r="T2" s="1"/>
    </row>
    <row r="3" spans="1:20" ht="26.1" customHeight="1" x14ac:dyDescent="0.3">
      <c r="A3" s="6" t="s">
        <v>32</v>
      </c>
      <c r="B3" s="5" t="s">
        <v>0</v>
      </c>
      <c r="C3" s="6" t="s">
        <v>1</v>
      </c>
      <c r="D3" s="6" t="s">
        <v>54</v>
      </c>
      <c r="E3" s="6" t="s">
        <v>7</v>
      </c>
      <c r="F3" s="112" t="s">
        <v>11</v>
      </c>
      <c r="G3" s="113"/>
      <c r="H3" s="114"/>
      <c r="I3" s="112" t="s">
        <v>10</v>
      </c>
      <c r="J3" s="113"/>
      <c r="K3" s="114"/>
      <c r="L3" s="7" t="s">
        <v>8</v>
      </c>
      <c r="M3" s="14"/>
      <c r="N3" s="20" t="s">
        <v>48</v>
      </c>
      <c r="O3" s="38" t="s">
        <v>39</v>
      </c>
      <c r="P3" s="38" t="s">
        <v>37</v>
      </c>
      <c r="Q3" s="20" t="s">
        <v>44</v>
      </c>
      <c r="R3" s="20" t="s">
        <v>45</v>
      </c>
      <c r="S3" s="20" t="s">
        <v>51</v>
      </c>
    </row>
    <row r="4" spans="1:20" ht="24.9" customHeight="1" x14ac:dyDescent="0.3">
      <c r="A4" s="115">
        <v>1</v>
      </c>
      <c r="B4" s="13" t="s">
        <v>4</v>
      </c>
      <c r="C4" s="2" t="s">
        <v>3</v>
      </c>
      <c r="D4" s="2" t="s">
        <v>5</v>
      </c>
      <c r="E4" s="2">
        <f>72.8+17.7</f>
        <v>90.5</v>
      </c>
      <c r="F4" s="2" t="s">
        <v>6</v>
      </c>
      <c r="G4" s="3" t="s">
        <v>14</v>
      </c>
      <c r="H4" s="3">
        <f>(2.77+1.808)/2-0.34</f>
        <v>1.9490000000000001</v>
      </c>
      <c r="I4" s="3" t="s">
        <v>12</v>
      </c>
      <c r="J4" s="3" t="s">
        <v>98</v>
      </c>
      <c r="K4" s="3">
        <f>(5.1+2.1)/2*H4</f>
        <v>7.0164</v>
      </c>
      <c r="L4" s="4">
        <f>K4*E4</f>
        <v>634.98419999999999</v>
      </c>
      <c r="M4" s="14"/>
      <c r="N4" s="6">
        <v>23</v>
      </c>
      <c r="O4" s="15">
        <f>Щебень!F4</f>
        <v>12.420000000000003</v>
      </c>
      <c r="P4" s="15">
        <f>Подб_Роств!F4</f>
        <v>3.5419999999999998</v>
      </c>
      <c r="Q4" s="16">
        <f>0.9*1.2*0.6*N4</f>
        <v>14.904</v>
      </c>
      <c r="R4" s="16">
        <f>(2.5+3.7)/2*0.8*E4</f>
        <v>224.44000000000003</v>
      </c>
      <c r="S4" s="17">
        <f>R4-O4-P4-Q4</f>
        <v>193.57400000000001</v>
      </c>
    </row>
    <row r="5" spans="1:20" ht="24.9" customHeight="1" thickBot="1" x14ac:dyDescent="0.35">
      <c r="A5" s="116"/>
      <c r="B5" s="13" t="s">
        <v>4</v>
      </c>
      <c r="C5" s="2" t="s">
        <v>3</v>
      </c>
      <c r="D5" s="2" t="s">
        <v>13</v>
      </c>
      <c r="E5" s="2">
        <v>40</v>
      </c>
      <c r="F5" s="2" t="s">
        <v>6</v>
      </c>
      <c r="G5" s="3" t="s">
        <v>15</v>
      </c>
      <c r="H5" s="3">
        <f>(1.835+1.657)/2-0.34</f>
        <v>1.4059999999999999</v>
      </c>
      <c r="I5" s="3" t="s">
        <v>12</v>
      </c>
      <c r="J5" s="3" t="s">
        <v>98</v>
      </c>
      <c r="K5" s="3">
        <f>(5.1+2.1)/2*H5</f>
        <v>5.0615999999999994</v>
      </c>
      <c r="L5" s="4">
        <f>K5*E5</f>
        <v>202.46399999999997</v>
      </c>
      <c r="M5" s="14"/>
      <c r="N5" s="6">
        <v>10</v>
      </c>
      <c r="O5" s="15">
        <f>Щебень!F5</f>
        <v>5.4000000000000012</v>
      </c>
      <c r="P5" s="15">
        <f>Подб_Роств!F5</f>
        <v>1.54</v>
      </c>
      <c r="Q5" s="16">
        <f>0.9*1.2*0.6*N5</f>
        <v>6.48</v>
      </c>
      <c r="R5" s="16">
        <f>(2.5+3.7)/2*0.8*E5</f>
        <v>99.200000000000017</v>
      </c>
      <c r="S5" s="17">
        <f t="shared" ref="S5:S27" si="0">R5-O5-P5-Q5</f>
        <v>85.78</v>
      </c>
    </row>
    <row r="6" spans="1:20" ht="15" thickBo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26">
        <f>SUM(L4:L5)</f>
        <v>837.44819999999993</v>
      </c>
      <c r="M6" s="27"/>
      <c r="N6" s="35">
        <f>SUM(N4:N5)</f>
        <v>33</v>
      </c>
      <c r="O6" s="26">
        <f t="shared" ref="O6:S6" si="1">SUM(O4:O5)</f>
        <v>17.820000000000004</v>
      </c>
      <c r="P6" s="26">
        <f t="shared" si="1"/>
        <v>5.0819999999999999</v>
      </c>
      <c r="Q6" s="26">
        <f t="shared" si="1"/>
        <v>21.384</v>
      </c>
      <c r="R6" s="26">
        <f t="shared" si="1"/>
        <v>323.64000000000004</v>
      </c>
      <c r="S6" s="26">
        <f t="shared" si="1"/>
        <v>279.35400000000004</v>
      </c>
    </row>
    <row r="7" spans="1:20" x14ac:dyDescent="0.3">
      <c r="A7" s="14"/>
      <c r="B7" s="44"/>
      <c r="C7" s="14"/>
      <c r="D7" s="117" t="s">
        <v>47</v>
      </c>
      <c r="E7" s="117"/>
      <c r="F7" s="117"/>
      <c r="G7" s="117"/>
      <c r="H7" s="117"/>
      <c r="I7" s="117"/>
      <c r="J7" s="117"/>
      <c r="K7" s="117"/>
      <c r="L7" s="117"/>
      <c r="M7" s="14"/>
      <c r="N7" s="20" t="s">
        <v>34</v>
      </c>
      <c r="O7" s="20" t="s">
        <v>40</v>
      </c>
      <c r="P7" s="20" t="s">
        <v>43</v>
      </c>
      <c r="Q7" s="20" t="s">
        <v>41</v>
      </c>
      <c r="R7" s="118" t="s">
        <v>42</v>
      </c>
      <c r="S7" s="118"/>
    </row>
    <row r="8" spans="1:20" ht="26.1" customHeight="1" x14ac:dyDescent="0.3">
      <c r="A8" s="6"/>
      <c r="B8" s="5"/>
      <c r="C8" s="6"/>
      <c r="D8" s="6"/>
      <c r="E8" s="6"/>
      <c r="F8" s="112" t="s">
        <v>9</v>
      </c>
      <c r="G8" s="113"/>
      <c r="H8" s="114"/>
      <c r="I8" s="112" t="s">
        <v>16</v>
      </c>
      <c r="J8" s="113"/>
      <c r="K8" s="114"/>
      <c r="L8" s="7" t="s">
        <v>17</v>
      </c>
      <c r="M8" s="14"/>
      <c r="N8" s="22" t="s">
        <v>46</v>
      </c>
      <c r="O8" s="22" t="s">
        <v>49</v>
      </c>
      <c r="P8" s="22" t="s">
        <v>50</v>
      </c>
      <c r="Q8" s="7" t="s">
        <v>53</v>
      </c>
      <c r="R8" s="7" t="s">
        <v>52</v>
      </c>
      <c r="S8" s="7" t="s">
        <v>17</v>
      </c>
      <c r="T8" s="1"/>
    </row>
    <row r="9" spans="1:20" ht="26.1" customHeight="1" x14ac:dyDescent="0.3">
      <c r="A9" s="6" t="s">
        <v>32</v>
      </c>
      <c r="B9" s="5" t="s">
        <v>0</v>
      </c>
      <c r="C9" s="6" t="s">
        <v>1</v>
      </c>
      <c r="D9" s="6" t="s">
        <v>54</v>
      </c>
      <c r="E9" s="6" t="s">
        <v>7</v>
      </c>
      <c r="F9" s="112" t="s">
        <v>11</v>
      </c>
      <c r="G9" s="113"/>
      <c r="H9" s="114"/>
      <c r="I9" s="112" t="s">
        <v>10</v>
      </c>
      <c r="J9" s="113"/>
      <c r="K9" s="114"/>
      <c r="L9" s="7" t="s">
        <v>8</v>
      </c>
      <c r="M9" s="14"/>
      <c r="N9" s="20" t="s">
        <v>48</v>
      </c>
      <c r="O9" s="38" t="s">
        <v>39</v>
      </c>
      <c r="P9" s="38" t="s">
        <v>37</v>
      </c>
      <c r="Q9" s="20" t="s">
        <v>44</v>
      </c>
      <c r="R9" s="20" t="s">
        <v>45</v>
      </c>
      <c r="S9" s="20" t="s">
        <v>51</v>
      </c>
    </row>
    <row r="10" spans="1:20" ht="26.4" x14ac:dyDescent="0.3">
      <c r="A10" s="111">
        <v>2</v>
      </c>
      <c r="B10" s="13" t="s">
        <v>4</v>
      </c>
      <c r="C10" s="2" t="s">
        <v>3</v>
      </c>
      <c r="D10" s="2" t="s">
        <v>5</v>
      </c>
      <c r="E10" s="2">
        <f>50.8+10.7</f>
        <v>61.5</v>
      </c>
      <c r="F10" s="2" t="s">
        <v>6</v>
      </c>
      <c r="G10" s="3" t="s">
        <v>18</v>
      </c>
      <c r="H10" s="3">
        <f>(3.17+2.505)/2-0.34</f>
        <v>2.4975000000000001</v>
      </c>
      <c r="I10" s="3" t="s">
        <v>12</v>
      </c>
      <c r="J10" s="3" t="s">
        <v>98</v>
      </c>
      <c r="K10" s="3">
        <f>(5.1+2.1)/2*H10</f>
        <v>8.9909999999999997</v>
      </c>
      <c r="L10" s="4">
        <f>K10*E10</f>
        <v>552.94650000000001</v>
      </c>
      <c r="M10" s="14"/>
      <c r="N10" s="6">
        <v>15</v>
      </c>
      <c r="O10" s="15">
        <f>Щебень!F10</f>
        <v>8.1000000000000014</v>
      </c>
      <c r="P10" s="15">
        <f>Подб_Роств!F9</f>
        <v>2.31</v>
      </c>
      <c r="Q10" s="16">
        <f>0.9*1.2*0.6*N10</f>
        <v>9.7200000000000006</v>
      </c>
      <c r="R10" s="16">
        <f>(2.5+3.7)/2*0.8*E10</f>
        <v>152.52000000000004</v>
      </c>
      <c r="S10" s="17">
        <f t="shared" si="0"/>
        <v>132.39000000000004</v>
      </c>
    </row>
    <row r="11" spans="1:20" ht="26.4" x14ac:dyDescent="0.3">
      <c r="A11" s="111"/>
      <c r="B11" s="13" t="s">
        <v>4</v>
      </c>
      <c r="C11" s="2" t="s">
        <v>3</v>
      </c>
      <c r="D11" s="2" t="s">
        <v>13</v>
      </c>
      <c r="E11" s="2">
        <v>21.6</v>
      </c>
      <c r="F11" s="2" t="s">
        <v>6</v>
      </c>
      <c r="G11" s="3" t="s">
        <v>19</v>
      </c>
      <c r="H11" s="3">
        <f>(1.948+1.659)/2-0.34</f>
        <v>1.4635</v>
      </c>
      <c r="I11" s="3" t="s">
        <v>12</v>
      </c>
      <c r="J11" s="3" t="s">
        <v>98</v>
      </c>
      <c r="K11" s="3">
        <f>(5.1+2.1)/2*H11</f>
        <v>5.2685999999999993</v>
      </c>
      <c r="L11" s="4">
        <f>K11*E11</f>
        <v>113.80175999999999</v>
      </c>
      <c r="M11" s="14"/>
      <c r="N11" s="6">
        <v>7</v>
      </c>
      <c r="O11" s="15">
        <f>Щебень!F11</f>
        <v>3.7800000000000011</v>
      </c>
      <c r="P11" s="15">
        <f>Подб_Роств!F10</f>
        <v>1.0780000000000001</v>
      </c>
      <c r="Q11" s="16">
        <f>0.9*1.2*0.6*N11</f>
        <v>4.5360000000000005</v>
      </c>
      <c r="R11" s="16">
        <f>(2.5+3.7)/2*0.8*E11</f>
        <v>53.568000000000012</v>
      </c>
      <c r="S11" s="17">
        <f t="shared" si="0"/>
        <v>44.174000000000007</v>
      </c>
    </row>
    <row r="12" spans="1:20" ht="27" thickBot="1" x14ac:dyDescent="0.35">
      <c r="A12" s="111"/>
      <c r="B12" s="13" t="s">
        <v>4</v>
      </c>
      <c r="C12" s="2" t="s">
        <v>3</v>
      </c>
      <c r="D12" s="2" t="s">
        <v>21</v>
      </c>
      <c r="E12" s="2">
        <v>88.8</v>
      </c>
      <c r="F12" s="2" t="s">
        <v>6</v>
      </c>
      <c r="G12" s="3" t="s">
        <v>20</v>
      </c>
      <c r="H12" s="3">
        <f>(1.9+1.65)/2-0.34</f>
        <v>1.4349999999999998</v>
      </c>
      <c r="I12" s="3" t="s">
        <v>12</v>
      </c>
      <c r="J12" s="3" t="s">
        <v>98</v>
      </c>
      <c r="K12" s="3">
        <f>(5.1+2.1)/2*H12</f>
        <v>5.1659999999999986</v>
      </c>
      <c r="L12" s="4">
        <f>K12*E12</f>
        <v>458.74079999999987</v>
      </c>
      <c r="M12" s="14"/>
      <c r="N12" s="6">
        <v>18</v>
      </c>
      <c r="O12" s="15">
        <f>Щебень!F12</f>
        <v>13.500000000000004</v>
      </c>
      <c r="P12" s="15">
        <f>Подб_Роств!F11</f>
        <v>3.85</v>
      </c>
      <c r="Q12" s="16">
        <f>0.9*1.2*0.6*N12</f>
        <v>11.664</v>
      </c>
      <c r="R12" s="16">
        <f>(2.5+3.7)/2*0.8*E12</f>
        <v>220.22400000000002</v>
      </c>
      <c r="S12" s="17">
        <f t="shared" si="0"/>
        <v>191.21000000000004</v>
      </c>
    </row>
    <row r="13" spans="1:20" ht="15" thickBot="1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6">
        <f>SUM(L10:L12)</f>
        <v>1125.4890599999999</v>
      </c>
      <c r="M13" s="27"/>
      <c r="N13" s="35">
        <f>SUM(N10:N12)</f>
        <v>40</v>
      </c>
      <c r="O13" s="26">
        <f t="shared" ref="O13:S13" si="2">SUM(O10:O12)</f>
        <v>25.380000000000006</v>
      </c>
      <c r="P13" s="26">
        <f t="shared" si="2"/>
        <v>7.2379999999999995</v>
      </c>
      <c r="Q13" s="26">
        <f t="shared" si="2"/>
        <v>25.92</v>
      </c>
      <c r="R13" s="26">
        <f t="shared" si="2"/>
        <v>426.31200000000007</v>
      </c>
      <c r="S13" s="26">
        <f t="shared" si="2"/>
        <v>367.77400000000011</v>
      </c>
    </row>
    <row r="14" spans="1:20" x14ac:dyDescent="0.3">
      <c r="A14" s="14"/>
      <c r="B14" s="44"/>
      <c r="C14" s="14"/>
      <c r="D14" s="117" t="s">
        <v>47</v>
      </c>
      <c r="E14" s="117"/>
      <c r="F14" s="117"/>
      <c r="G14" s="117"/>
      <c r="H14" s="117"/>
      <c r="I14" s="117"/>
      <c r="J14" s="117"/>
      <c r="K14" s="117"/>
      <c r="L14" s="117"/>
      <c r="M14" s="14"/>
      <c r="N14" s="20" t="s">
        <v>34</v>
      </c>
      <c r="O14" s="20" t="s">
        <v>40</v>
      </c>
      <c r="P14" s="20" t="s">
        <v>43</v>
      </c>
      <c r="Q14" s="20" t="s">
        <v>41</v>
      </c>
      <c r="R14" s="118" t="s">
        <v>42</v>
      </c>
      <c r="S14" s="118"/>
    </row>
    <row r="15" spans="1:20" ht="26.1" customHeight="1" x14ac:dyDescent="0.3">
      <c r="A15" s="6"/>
      <c r="B15" s="5"/>
      <c r="C15" s="6"/>
      <c r="D15" s="6"/>
      <c r="E15" s="6"/>
      <c r="F15" s="112" t="s">
        <v>9</v>
      </c>
      <c r="G15" s="113"/>
      <c r="H15" s="114"/>
      <c r="I15" s="112" t="s">
        <v>16</v>
      </c>
      <c r="J15" s="113"/>
      <c r="K15" s="114"/>
      <c r="L15" s="7" t="s">
        <v>17</v>
      </c>
      <c r="M15" s="14"/>
      <c r="N15" s="22" t="s">
        <v>46</v>
      </c>
      <c r="O15" s="22" t="s">
        <v>49</v>
      </c>
      <c r="P15" s="22" t="s">
        <v>50</v>
      </c>
      <c r="Q15" s="7" t="s">
        <v>53</v>
      </c>
      <c r="R15" s="7" t="s">
        <v>52</v>
      </c>
      <c r="S15" s="7" t="s">
        <v>17</v>
      </c>
      <c r="T15" s="1"/>
    </row>
    <row r="16" spans="1:20" ht="26.1" customHeight="1" x14ac:dyDescent="0.3">
      <c r="A16" s="6" t="s">
        <v>32</v>
      </c>
      <c r="B16" s="5" t="s">
        <v>0</v>
      </c>
      <c r="C16" s="6" t="s">
        <v>1</v>
      </c>
      <c r="D16" s="6" t="s">
        <v>54</v>
      </c>
      <c r="E16" s="6" t="s">
        <v>7</v>
      </c>
      <c r="F16" s="112" t="s">
        <v>11</v>
      </c>
      <c r="G16" s="113"/>
      <c r="H16" s="114"/>
      <c r="I16" s="112" t="s">
        <v>10</v>
      </c>
      <c r="J16" s="113"/>
      <c r="K16" s="114"/>
      <c r="L16" s="7" t="s">
        <v>8</v>
      </c>
      <c r="M16" s="14"/>
      <c r="N16" s="20" t="s">
        <v>48</v>
      </c>
      <c r="O16" s="38" t="s">
        <v>39</v>
      </c>
      <c r="P16" s="38" t="s">
        <v>37</v>
      </c>
      <c r="Q16" s="20" t="s">
        <v>44</v>
      </c>
      <c r="R16" s="20" t="s">
        <v>45</v>
      </c>
      <c r="S16" s="20" t="s">
        <v>51</v>
      </c>
    </row>
    <row r="17" spans="1:20" ht="26.4" x14ac:dyDescent="0.3">
      <c r="A17" s="111">
        <v>3</v>
      </c>
      <c r="B17" s="13" t="s">
        <v>4</v>
      </c>
      <c r="C17" s="2" t="s">
        <v>3</v>
      </c>
      <c r="D17" s="2" t="s">
        <v>5</v>
      </c>
      <c r="E17" s="2">
        <v>53.9</v>
      </c>
      <c r="F17" s="2" t="s">
        <v>6</v>
      </c>
      <c r="G17" s="3" t="s">
        <v>23</v>
      </c>
      <c r="H17" s="3">
        <f>(3.179+2.107)/2-0.34</f>
        <v>2.3029999999999999</v>
      </c>
      <c r="I17" s="3" t="s">
        <v>12</v>
      </c>
      <c r="J17" s="3" t="s">
        <v>98</v>
      </c>
      <c r="K17" s="3">
        <f>(5.1+2.1)/2*H17</f>
        <v>8.2907999999999991</v>
      </c>
      <c r="L17" s="4">
        <f>K17*E17</f>
        <v>446.87411999999995</v>
      </c>
      <c r="M17" s="14"/>
      <c r="N17" s="6">
        <v>13</v>
      </c>
      <c r="O17" s="15">
        <f>Щебень!F17</f>
        <v>7.0200000000000022</v>
      </c>
      <c r="P17" s="15">
        <f>Подб_Роств!F15</f>
        <v>2.0019999999999998</v>
      </c>
      <c r="Q17" s="16">
        <f>0.9*1.2*0.6*N17</f>
        <v>8.4239999999999995</v>
      </c>
      <c r="R17" s="16">
        <f>(2.5+3.7)/2*0.8*E17</f>
        <v>133.67200000000003</v>
      </c>
      <c r="S17" s="17">
        <f t="shared" si="0"/>
        <v>116.22600000000003</v>
      </c>
    </row>
    <row r="18" spans="1:20" ht="26.4" x14ac:dyDescent="0.3">
      <c r="A18" s="111"/>
      <c r="B18" s="13" t="s">
        <v>4</v>
      </c>
      <c r="C18" s="2" t="s">
        <v>3</v>
      </c>
      <c r="D18" s="2" t="s">
        <v>13</v>
      </c>
      <c r="E18" s="2">
        <v>38.200000000000003</v>
      </c>
      <c r="F18" s="2" t="s">
        <v>6</v>
      </c>
      <c r="G18" s="3" t="s">
        <v>24</v>
      </c>
      <c r="H18" s="3">
        <f>(2.371+1.657)/2-0.34</f>
        <v>1.6740000000000002</v>
      </c>
      <c r="I18" s="3" t="s">
        <v>12</v>
      </c>
      <c r="J18" s="3" t="s">
        <v>98</v>
      </c>
      <c r="K18" s="3">
        <f>(5.1+2.1)/2*H18</f>
        <v>6.0263999999999998</v>
      </c>
      <c r="L18" s="4">
        <f>K18*E18</f>
        <v>230.20848000000001</v>
      </c>
      <c r="M18" s="14"/>
      <c r="N18" s="6">
        <v>10</v>
      </c>
      <c r="O18" s="15">
        <f>Щебень!F18</f>
        <v>5.4000000000000012</v>
      </c>
      <c r="P18" s="15">
        <f>Подб_Роств!F16</f>
        <v>1.54</v>
      </c>
      <c r="Q18" s="16">
        <f t="shared" ref="Q18:Q27" si="3">0.9*1.2*0.6*N18</f>
        <v>6.48</v>
      </c>
      <c r="R18" s="16">
        <f>(2.5+3.7)/2*0.8*E18</f>
        <v>94.736000000000018</v>
      </c>
      <c r="S18" s="17">
        <f t="shared" si="0"/>
        <v>81.316000000000003</v>
      </c>
    </row>
    <row r="19" spans="1:20" ht="26.4" x14ac:dyDescent="0.3">
      <c r="A19" s="111"/>
      <c r="B19" s="13" t="s">
        <v>4</v>
      </c>
      <c r="C19" s="2" t="s">
        <v>3</v>
      </c>
      <c r="D19" s="2" t="s">
        <v>21</v>
      </c>
      <c r="E19" s="2">
        <f>40.1+4.2</f>
        <v>44.300000000000004</v>
      </c>
      <c r="F19" s="2" t="s">
        <v>6</v>
      </c>
      <c r="G19" s="3" t="s">
        <v>25</v>
      </c>
      <c r="H19" s="3">
        <f>(2.455+1.708)/2-0.34</f>
        <v>1.7415</v>
      </c>
      <c r="I19" s="3" t="s">
        <v>12</v>
      </c>
      <c r="J19" s="3" t="s">
        <v>98</v>
      </c>
      <c r="K19" s="3">
        <f>(5.1+2.1)/2*H19</f>
        <v>6.2693999999999992</v>
      </c>
      <c r="L19" s="4">
        <f>K19*E19</f>
        <v>277.73442</v>
      </c>
      <c r="M19" s="14"/>
      <c r="N19" s="6">
        <v>10</v>
      </c>
      <c r="O19" s="15">
        <f>Щебень!F19</f>
        <v>5.4000000000000012</v>
      </c>
      <c r="P19" s="15">
        <f>Подб_Роств!F17</f>
        <v>1.54</v>
      </c>
      <c r="Q19" s="16">
        <f t="shared" si="3"/>
        <v>6.48</v>
      </c>
      <c r="R19" s="16">
        <f>(2.5+3.7)/2*0.8*E19</f>
        <v>109.86400000000003</v>
      </c>
      <c r="S19" s="17">
        <f t="shared" si="0"/>
        <v>96.444000000000017</v>
      </c>
    </row>
    <row r="20" spans="1:20" ht="27" thickBot="1" x14ac:dyDescent="0.35">
      <c r="A20" s="111"/>
      <c r="B20" s="13" t="s">
        <v>4</v>
      </c>
      <c r="C20" s="2" t="s">
        <v>3</v>
      </c>
      <c r="D20" s="2" t="s">
        <v>22</v>
      </c>
      <c r="E20" s="2">
        <v>18.7</v>
      </c>
      <c r="F20" s="2" t="s">
        <v>6</v>
      </c>
      <c r="G20" s="3" t="s">
        <v>26</v>
      </c>
      <c r="H20" s="3">
        <f>(2.948+2.733)/2-0.34</f>
        <v>2.5005000000000002</v>
      </c>
      <c r="I20" s="3" t="s">
        <v>12</v>
      </c>
      <c r="J20" s="3" t="s">
        <v>98</v>
      </c>
      <c r="K20" s="3">
        <f>(5.1+2.1)/2*H20</f>
        <v>9.0017999999999994</v>
      </c>
      <c r="L20" s="4">
        <f>K20*E20</f>
        <v>168.33365999999998</v>
      </c>
      <c r="M20" s="14"/>
      <c r="N20" s="6">
        <v>5</v>
      </c>
      <c r="O20" s="15">
        <f>Щебень!F20</f>
        <v>2.7000000000000006</v>
      </c>
      <c r="P20" s="15">
        <f>Подб_Роств!F18</f>
        <v>0.77</v>
      </c>
      <c r="Q20" s="16">
        <f>1.2*1.25*0.6*N20</f>
        <v>4.5</v>
      </c>
      <c r="R20" s="16">
        <f>(2.5+3.7)/2*0.8*E20</f>
        <v>46.376000000000005</v>
      </c>
      <c r="S20" s="17">
        <f t="shared" si="0"/>
        <v>38.405999999999999</v>
      </c>
    </row>
    <row r="21" spans="1:20" ht="15" thickBot="1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6">
        <f>SUM(L17:L20)</f>
        <v>1123.15068</v>
      </c>
      <c r="M21" s="27"/>
      <c r="N21" s="35">
        <f>SUM(N17:N20)</f>
        <v>38</v>
      </c>
      <c r="O21" s="26">
        <f t="shared" ref="O21:S21" si="4">SUM(O17:O20)</f>
        <v>20.520000000000003</v>
      </c>
      <c r="P21" s="26">
        <f t="shared" si="4"/>
        <v>5.8520000000000003</v>
      </c>
      <c r="Q21" s="26">
        <f t="shared" si="4"/>
        <v>25.884</v>
      </c>
      <c r="R21" s="26">
        <f t="shared" si="4"/>
        <v>384.64800000000002</v>
      </c>
      <c r="S21" s="26">
        <f t="shared" si="4"/>
        <v>332.39200000000005</v>
      </c>
    </row>
    <row r="22" spans="1:20" x14ac:dyDescent="0.3">
      <c r="A22" s="14"/>
      <c r="B22" s="44"/>
      <c r="C22" s="14"/>
      <c r="D22" s="117" t="s">
        <v>47</v>
      </c>
      <c r="E22" s="117"/>
      <c r="F22" s="117"/>
      <c r="G22" s="117"/>
      <c r="H22" s="117"/>
      <c r="I22" s="117"/>
      <c r="J22" s="117"/>
      <c r="K22" s="117"/>
      <c r="L22" s="117"/>
      <c r="M22" s="14"/>
      <c r="N22" s="20" t="s">
        <v>34</v>
      </c>
      <c r="O22" s="20" t="s">
        <v>40</v>
      </c>
      <c r="P22" s="20" t="s">
        <v>43</v>
      </c>
      <c r="Q22" s="20" t="s">
        <v>41</v>
      </c>
      <c r="R22" s="118" t="s">
        <v>42</v>
      </c>
      <c r="S22" s="118"/>
    </row>
    <row r="23" spans="1:20" ht="26.1" customHeight="1" x14ac:dyDescent="0.3">
      <c r="A23" s="6"/>
      <c r="B23" s="5"/>
      <c r="C23" s="6"/>
      <c r="D23" s="6"/>
      <c r="E23" s="6"/>
      <c r="F23" s="112" t="s">
        <v>9</v>
      </c>
      <c r="G23" s="113"/>
      <c r="H23" s="114"/>
      <c r="I23" s="112" t="s">
        <v>16</v>
      </c>
      <c r="J23" s="113"/>
      <c r="K23" s="114"/>
      <c r="L23" s="7" t="s">
        <v>17</v>
      </c>
      <c r="M23" s="14"/>
      <c r="N23" s="22" t="s">
        <v>46</v>
      </c>
      <c r="O23" s="22" t="s">
        <v>49</v>
      </c>
      <c r="P23" s="22" t="s">
        <v>50</v>
      </c>
      <c r="Q23" s="7" t="s">
        <v>53</v>
      </c>
      <c r="R23" s="7" t="s">
        <v>52</v>
      </c>
      <c r="S23" s="7" t="s">
        <v>17</v>
      </c>
      <c r="T23" s="1"/>
    </row>
    <row r="24" spans="1:20" ht="26.1" customHeight="1" x14ac:dyDescent="0.3">
      <c r="A24" s="6" t="s">
        <v>32</v>
      </c>
      <c r="B24" s="5" t="s">
        <v>0</v>
      </c>
      <c r="C24" s="6" t="s">
        <v>1</v>
      </c>
      <c r="D24" s="6" t="s">
        <v>54</v>
      </c>
      <c r="E24" s="6" t="s">
        <v>7</v>
      </c>
      <c r="F24" s="112" t="s">
        <v>11</v>
      </c>
      <c r="G24" s="113"/>
      <c r="H24" s="114"/>
      <c r="I24" s="112" t="s">
        <v>10</v>
      </c>
      <c r="J24" s="113"/>
      <c r="K24" s="114"/>
      <c r="L24" s="7" t="s">
        <v>8</v>
      </c>
      <c r="M24" s="14"/>
      <c r="N24" s="20" t="s">
        <v>48</v>
      </c>
      <c r="O24" s="38" t="s">
        <v>39</v>
      </c>
      <c r="P24" s="38" t="s">
        <v>37</v>
      </c>
      <c r="Q24" s="20" t="s">
        <v>44</v>
      </c>
      <c r="R24" s="20" t="s">
        <v>45</v>
      </c>
      <c r="S24" s="20" t="s">
        <v>51</v>
      </c>
    </row>
    <row r="25" spans="1:20" ht="26.4" x14ac:dyDescent="0.3">
      <c r="A25" s="111">
        <v>4</v>
      </c>
      <c r="B25" s="13" t="s">
        <v>4</v>
      </c>
      <c r="C25" s="2" t="s">
        <v>3</v>
      </c>
      <c r="D25" s="2" t="s">
        <v>5</v>
      </c>
      <c r="E25" s="2">
        <v>61.5</v>
      </c>
      <c r="F25" s="2" t="s">
        <v>6</v>
      </c>
      <c r="G25" s="3" t="s">
        <v>27</v>
      </c>
      <c r="H25" s="3">
        <f>(2.919+2.109)/2-0.34</f>
        <v>2.1740000000000004</v>
      </c>
      <c r="I25" s="3" t="s">
        <v>12</v>
      </c>
      <c r="J25" s="3" t="s">
        <v>98</v>
      </c>
      <c r="K25" s="3">
        <f>(5.1+2.1)/2*H25</f>
        <v>7.8264000000000005</v>
      </c>
      <c r="L25" s="4">
        <f>K25*E25</f>
        <v>481.32360000000006</v>
      </c>
      <c r="M25" s="14"/>
      <c r="N25" s="6">
        <v>16</v>
      </c>
      <c r="O25" s="15">
        <f>Щебень!F25</f>
        <v>8.6400000000000023</v>
      </c>
      <c r="P25" s="15">
        <f>Подб_Роств!F22</f>
        <v>2.464</v>
      </c>
      <c r="Q25" s="16">
        <f t="shared" si="3"/>
        <v>10.368</v>
      </c>
      <c r="R25" s="16">
        <f>(2.5+3.7)/2*0.8*E25</f>
        <v>152.52000000000004</v>
      </c>
      <c r="S25" s="17">
        <f t="shared" si="0"/>
        <v>131.04800000000003</v>
      </c>
    </row>
    <row r="26" spans="1:20" ht="26.4" x14ac:dyDescent="0.3">
      <c r="A26" s="111"/>
      <c r="B26" s="13" t="s">
        <v>4</v>
      </c>
      <c r="C26" s="2" t="s">
        <v>3</v>
      </c>
      <c r="D26" s="2" t="s">
        <v>13</v>
      </c>
      <c r="E26" s="2">
        <v>25.3</v>
      </c>
      <c r="F26" s="2" t="s">
        <v>6</v>
      </c>
      <c r="G26" s="3" t="s">
        <v>28</v>
      </c>
      <c r="H26" s="3">
        <f>(2.59+1.958)/2-0.34</f>
        <v>1.9339999999999999</v>
      </c>
      <c r="I26" s="3" t="s">
        <v>12</v>
      </c>
      <c r="J26" s="3" t="s">
        <v>98</v>
      </c>
      <c r="K26" s="3">
        <f>(5.1+2.1)/2*H26</f>
        <v>6.9623999999999988</v>
      </c>
      <c r="L26" s="4">
        <f>K26*E26</f>
        <v>176.14871999999997</v>
      </c>
      <c r="M26" s="14"/>
      <c r="N26" s="6">
        <v>6</v>
      </c>
      <c r="O26" s="15">
        <f>Щебень!F26</f>
        <v>3.2400000000000011</v>
      </c>
      <c r="P26" s="15">
        <f>Подб_Роств!F23</f>
        <v>0.92399999999999993</v>
      </c>
      <c r="Q26" s="16">
        <f t="shared" si="3"/>
        <v>3.8879999999999999</v>
      </c>
      <c r="R26" s="16">
        <f>(2.5+3.7)/2*0.8*E26</f>
        <v>62.744000000000014</v>
      </c>
      <c r="S26" s="17">
        <f t="shared" si="0"/>
        <v>54.692000000000014</v>
      </c>
    </row>
    <row r="27" spans="1:20" ht="27" thickBot="1" x14ac:dyDescent="0.35">
      <c r="A27" s="111"/>
      <c r="B27" s="13" t="s">
        <v>4</v>
      </c>
      <c r="C27" s="2" t="s">
        <v>3</v>
      </c>
      <c r="D27" s="2" t="s">
        <v>21</v>
      </c>
      <c r="E27" s="2">
        <v>5.9</v>
      </c>
      <c r="F27" s="2" t="s">
        <v>6</v>
      </c>
      <c r="G27" s="3" t="s">
        <v>29</v>
      </c>
      <c r="H27" s="3">
        <f>(1.733+1.658)/2-0.34</f>
        <v>1.3554999999999999</v>
      </c>
      <c r="I27" s="3" t="s">
        <v>12</v>
      </c>
      <c r="J27" s="3" t="s">
        <v>98</v>
      </c>
      <c r="K27" s="3">
        <f>(5.1+2.1)/2*H27</f>
        <v>4.8797999999999995</v>
      </c>
      <c r="L27" s="4">
        <f>K27*E27</f>
        <v>28.79082</v>
      </c>
      <c r="M27" s="14"/>
      <c r="N27" s="6">
        <v>1</v>
      </c>
      <c r="O27" s="15">
        <f>Щебень!F27</f>
        <v>0.54000000000000015</v>
      </c>
      <c r="P27" s="15">
        <f>Подб_Роств!F24</f>
        <v>0.154</v>
      </c>
      <c r="Q27" s="16">
        <f t="shared" si="3"/>
        <v>0.64800000000000002</v>
      </c>
      <c r="R27" s="16">
        <f>(2.5+3.7)/2*0.8*E27</f>
        <v>14.632000000000003</v>
      </c>
      <c r="S27" s="17">
        <f t="shared" si="0"/>
        <v>13.290000000000003</v>
      </c>
    </row>
    <row r="28" spans="1:20" ht="15" thickBo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6">
        <f>SUM(L25:L27)</f>
        <v>686.26314000000013</v>
      </c>
      <c r="M28" s="33"/>
      <c r="N28" s="35">
        <f>SUM(N25:N27)</f>
        <v>23</v>
      </c>
      <c r="O28" s="26">
        <f t="shared" ref="O28:S28" si="5">SUM(O25:O27)</f>
        <v>12.420000000000003</v>
      </c>
      <c r="P28" s="26">
        <f t="shared" si="5"/>
        <v>3.5419999999999998</v>
      </c>
      <c r="Q28" s="26">
        <f t="shared" si="5"/>
        <v>14.904</v>
      </c>
      <c r="R28" s="26">
        <f t="shared" si="5"/>
        <v>229.89600000000007</v>
      </c>
      <c r="S28" s="26">
        <f t="shared" si="5"/>
        <v>199.03000000000003</v>
      </c>
    </row>
    <row r="29" spans="1:20" ht="15" thickBo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20" ht="15" thickBo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36">
        <f>L6+L13+L21+L28</f>
        <v>3772.3510799999995</v>
      </c>
      <c r="M30" s="33"/>
      <c r="N30" s="34">
        <f>N6+N13+N21+N28</f>
        <v>134</v>
      </c>
      <c r="O30" s="36">
        <f>O6+O13+O21+O28</f>
        <v>76.140000000000015</v>
      </c>
      <c r="P30" s="36">
        <f>P6+P13+P21+P28</f>
        <v>21.713999999999999</v>
      </c>
      <c r="Q30" s="36">
        <f t="shared" ref="Q30:S30" si="6">Q6+Q13+Q21+Q28</f>
        <v>88.091999999999999</v>
      </c>
      <c r="R30" s="36">
        <f t="shared" si="6"/>
        <v>1364.4960000000001</v>
      </c>
      <c r="S30" s="36">
        <f t="shared" si="6"/>
        <v>1178.5500000000002</v>
      </c>
    </row>
  </sheetData>
  <mergeCells count="28">
    <mergeCell ref="R22:S22"/>
    <mergeCell ref="F23:H23"/>
    <mergeCell ref="I23:K23"/>
    <mergeCell ref="F9:H9"/>
    <mergeCell ref="I9:K9"/>
    <mergeCell ref="D14:L14"/>
    <mergeCell ref="R14:S14"/>
    <mergeCell ref="F15:H15"/>
    <mergeCell ref="I15:K15"/>
    <mergeCell ref="F16:H16"/>
    <mergeCell ref="I16:K16"/>
    <mergeCell ref="D22:L22"/>
    <mergeCell ref="R7:S7"/>
    <mergeCell ref="F8:H8"/>
    <mergeCell ref="I8:K8"/>
    <mergeCell ref="D1:L1"/>
    <mergeCell ref="F2:H2"/>
    <mergeCell ref="I2:K2"/>
    <mergeCell ref="R1:S1"/>
    <mergeCell ref="A25:A27"/>
    <mergeCell ref="A10:A12"/>
    <mergeCell ref="A17:A20"/>
    <mergeCell ref="F3:H3"/>
    <mergeCell ref="I3:K3"/>
    <mergeCell ref="A4:A5"/>
    <mergeCell ref="D7:L7"/>
    <mergeCell ref="F24:H24"/>
    <mergeCell ref="I24:K24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opLeftCell="A7" zoomScaleNormal="100" workbookViewId="0">
      <selection activeCell="D12" sqref="D12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5" width="10.44140625" customWidth="1"/>
    <col min="6" max="6" width="22.6640625" customWidth="1"/>
    <col min="7" max="7" width="17.44140625" customWidth="1"/>
  </cols>
  <sheetData>
    <row r="1" spans="1:7" ht="42" customHeight="1" x14ac:dyDescent="0.3">
      <c r="A1" s="124" t="s">
        <v>56</v>
      </c>
      <c r="B1" s="124"/>
      <c r="C1" s="124"/>
      <c r="D1" s="124"/>
      <c r="E1" s="124"/>
      <c r="F1" s="124"/>
      <c r="G1" s="124"/>
    </row>
    <row r="2" spans="1:7" ht="36" customHeight="1" x14ac:dyDescent="0.3">
      <c r="A2" s="6"/>
      <c r="B2" s="5"/>
      <c r="C2" s="6"/>
      <c r="D2" s="6"/>
      <c r="E2" s="6" t="s">
        <v>38</v>
      </c>
      <c r="F2" s="6" t="s">
        <v>31</v>
      </c>
      <c r="G2" s="6" t="s">
        <v>2</v>
      </c>
    </row>
    <row r="3" spans="1:7" ht="26.25" customHeight="1" x14ac:dyDescent="0.3">
      <c r="A3" s="6" t="s">
        <v>32</v>
      </c>
      <c r="B3" s="5" t="s">
        <v>0</v>
      </c>
      <c r="C3" s="6" t="s">
        <v>1</v>
      </c>
      <c r="D3" s="6" t="s">
        <v>54</v>
      </c>
      <c r="E3" s="6" t="s">
        <v>35</v>
      </c>
      <c r="F3" s="6" t="s">
        <v>96</v>
      </c>
      <c r="G3" s="6" t="s">
        <v>3</v>
      </c>
    </row>
    <row r="4" spans="1:7" ht="24.9" customHeight="1" x14ac:dyDescent="0.3">
      <c r="A4" s="111">
        <v>1</v>
      </c>
      <c r="B4" s="120" t="s">
        <v>30</v>
      </c>
      <c r="C4" s="2" t="s">
        <v>3</v>
      </c>
      <c r="D4" s="2" t="s">
        <v>5</v>
      </c>
      <c r="E4" s="6">
        <v>23</v>
      </c>
      <c r="F4" s="10">
        <f>0.2*1.5*1.8*E4</f>
        <v>12.420000000000003</v>
      </c>
      <c r="G4" s="119">
        <f>SUM(F4:F5)</f>
        <v>17.820000000000004</v>
      </c>
    </row>
    <row r="5" spans="1:7" ht="24.9" customHeight="1" x14ac:dyDescent="0.3">
      <c r="A5" s="111"/>
      <c r="B5" s="120"/>
      <c r="C5" s="2" t="s">
        <v>3</v>
      </c>
      <c r="D5" s="2" t="s">
        <v>13</v>
      </c>
      <c r="E5" s="6">
        <v>10</v>
      </c>
      <c r="F5" s="10">
        <f>0.2*1.5*1.8*E5</f>
        <v>5.4000000000000012</v>
      </c>
      <c r="G5" s="119"/>
    </row>
    <row r="6" spans="1:7" x14ac:dyDescent="0.3">
      <c r="A6" s="9"/>
      <c r="B6" s="9"/>
      <c r="C6" s="9"/>
      <c r="D6" s="9"/>
      <c r="E6" s="11"/>
      <c r="F6" s="9"/>
      <c r="G6" s="9"/>
    </row>
    <row r="7" spans="1:7" ht="42" customHeight="1" x14ac:dyDescent="0.3">
      <c r="A7" s="124" t="s">
        <v>56</v>
      </c>
      <c r="B7" s="124"/>
      <c r="C7" s="124"/>
      <c r="D7" s="124"/>
      <c r="E7" s="124"/>
      <c r="F7" s="124"/>
      <c r="G7" s="124"/>
    </row>
    <row r="8" spans="1:7" ht="36" customHeight="1" x14ac:dyDescent="0.3">
      <c r="A8" s="6"/>
      <c r="B8" s="5"/>
      <c r="C8" s="6"/>
      <c r="D8" s="6"/>
      <c r="E8" s="6" t="s">
        <v>38</v>
      </c>
      <c r="F8" s="6" t="s">
        <v>31</v>
      </c>
      <c r="G8" s="6" t="s">
        <v>2</v>
      </c>
    </row>
    <row r="9" spans="1:7" ht="26.25" customHeight="1" x14ac:dyDescent="0.3">
      <c r="A9" s="6" t="s">
        <v>32</v>
      </c>
      <c r="B9" s="5" t="s">
        <v>0</v>
      </c>
      <c r="C9" s="6" t="s">
        <v>1</v>
      </c>
      <c r="D9" s="6" t="s">
        <v>54</v>
      </c>
      <c r="E9" s="6" t="s">
        <v>35</v>
      </c>
      <c r="F9" s="66" t="s">
        <v>96</v>
      </c>
      <c r="G9" s="6" t="s">
        <v>3</v>
      </c>
    </row>
    <row r="10" spans="1:7" ht="15" customHeight="1" x14ac:dyDescent="0.3">
      <c r="A10" s="115">
        <v>2</v>
      </c>
      <c r="B10" s="121" t="s">
        <v>30</v>
      </c>
      <c r="C10" s="2" t="s">
        <v>3</v>
      </c>
      <c r="D10" s="2" t="s">
        <v>5</v>
      </c>
      <c r="E10" s="6">
        <v>15</v>
      </c>
      <c r="F10" s="10">
        <f>0.2*1.5*1.8*E10</f>
        <v>8.1000000000000014</v>
      </c>
      <c r="G10" s="126">
        <f>SUM(F10:F12)</f>
        <v>25.380000000000006</v>
      </c>
    </row>
    <row r="11" spans="1:7" x14ac:dyDescent="0.3">
      <c r="A11" s="125"/>
      <c r="B11" s="122"/>
      <c r="C11" s="2" t="s">
        <v>3</v>
      </c>
      <c r="D11" s="2" t="s">
        <v>13</v>
      </c>
      <c r="E11" s="6">
        <v>7</v>
      </c>
      <c r="F11" s="10">
        <f>0.2*1.5*1.8*E11</f>
        <v>3.7800000000000011</v>
      </c>
      <c r="G11" s="127"/>
    </row>
    <row r="12" spans="1:7" x14ac:dyDescent="0.3">
      <c r="A12" s="116"/>
      <c r="B12" s="123"/>
      <c r="C12" s="2" t="s">
        <v>3</v>
      </c>
      <c r="D12" s="2" t="s">
        <v>21</v>
      </c>
      <c r="E12" s="6">
        <v>25</v>
      </c>
      <c r="F12" s="10">
        <f>0.2*1.5*1.8*E12</f>
        <v>13.500000000000004</v>
      </c>
      <c r="G12" s="128"/>
    </row>
    <row r="13" spans="1:7" x14ac:dyDescent="0.3">
      <c r="A13" s="9"/>
      <c r="B13" s="9"/>
      <c r="C13" s="9"/>
      <c r="D13" s="9"/>
      <c r="E13" s="11"/>
      <c r="F13" s="9"/>
      <c r="G13" s="9"/>
    </row>
    <row r="14" spans="1:7" ht="42" customHeight="1" x14ac:dyDescent="0.3">
      <c r="A14" s="124" t="s">
        <v>56</v>
      </c>
      <c r="B14" s="124"/>
      <c r="C14" s="124"/>
      <c r="D14" s="124"/>
      <c r="E14" s="124"/>
      <c r="F14" s="124"/>
      <c r="G14" s="124"/>
    </row>
    <row r="15" spans="1:7" ht="36" customHeight="1" x14ac:dyDescent="0.3">
      <c r="A15" s="6"/>
      <c r="B15" s="5"/>
      <c r="C15" s="6"/>
      <c r="D15" s="6"/>
      <c r="E15" s="6" t="s">
        <v>38</v>
      </c>
      <c r="F15" s="6" t="s">
        <v>31</v>
      </c>
      <c r="G15" s="6" t="s">
        <v>2</v>
      </c>
    </row>
    <row r="16" spans="1:7" ht="26.25" customHeight="1" x14ac:dyDescent="0.3">
      <c r="A16" s="6" t="s">
        <v>32</v>
      </c>
      <c r="B16" s="5" t="s">
        <v>0</v>
      </c>
      <c r="C16" s="6" t="s">
        <v>1</v>
      </c>
      <c r="D16" s="6" t="s">
        <v>54</v>
      </c>
      <c r="E16" s="6" t="s">
        <v>35</v>
      </c>
      <c r="F16" s="66" t="s">
        <v>96</v>
      </c>
      <c r="G16" s="6" t="s">
        <v>3</v>
      </c>
    </row>
    <row r="17" spans="1:7" ht="15.75" customHeight="1" x14ac:dyDescent="0.3">
      <c r="A17" s="111">
        <v>3</v>
      </c>
      <c r="B17" s="120" t="s">
        <v>30</v>
      </c>
      <c r="C17" s="2" t="s">
        <v>3</v>
      </c>
      <c r="D17" s="2" t="s">
        <v>5</v>
      </c>
      <c r="E17" s="6">
        <v>13</v>
      </c>
      <c r="F17" s="10">
        <f>0.2*1.5*1.8*E17</f>
        <v>7.0200000000000022</v>
      </c>
      <c r="G17" s="119">
        <f>SUM(F17:F20)</f>
        <v>20.520000000000003</v>
      </c>
    </row>
    <row r="18" spans="1:7" x14ac:dyDescent="0.3">
      <c r="A18" s="111"/>
      <c r="B18" s="120"/>
      <c r="C18" s="2" t="s">
        <v>3</v>
      </c>
      <c r="D18" s="2" t="s">
        <v>13</v>
      </c>
      <c r="E18" s="6">
        <v>10</v>
      </c>
      <c r="F18" s="10">
        <f t="shared" ref="F18:F20" si="0">0.2*1.5*1.8*E18</f>
        <v>5.4000000000000012</v>
      </c>
      <c r="G18" s="119"/>
    </row>
    <row r="19" spans="1:7" x14ac:dyDescent="0.3">
      <c r="A19" s="111"/>
      <c r="B19" s="120"/>
      <c r="C19" s="2" t="s">
        <v>3</v>
      </c>
      <c r="D19" s="2" t="s">
        <v>21</v>
      </c>
      <c r="E19" s="6">
        <v>10</v>
      </c>
      <c r="F19" s="10">
        <f t="shared" si="0"/>
        <v>5.4000000000000012</v>
      </c>
      <c r="G19" s="119"/>
    </row>
    <row r="20" spans="1:7" x14ac:dyDescent="0.3">
      <c r="A20" s="111"/>
      <c r="B20" s="120"/>
      <c r="C20" s="2" t="s">
        <v>3</v>
      </c>
      <c r="D20" s="2" t="s">
        <v>22</v>
      </c>
      <c r="E20" s="6">
        <v>5</v>
      </c>
      <c r="F20" s="10">
        <f t="shared" si="0"/>
        <v>2.7000000000000006</v>
      </c>
      <c r="G20" s="119"/>
    </row>
    <row r="21" spans="1:7" x14ac:dyDescent="0.3">
      <c r="A21" s="9"/>
      <c r="B21" s="9"/>
      <c r="C21" s="9"/>
      <c r="D21" s="9"/>
      <c r="E21" s="11"/>
      <c r="F21" s="9"/>
      <c r="G21" s="9"/>
    </row>
    <row r="22" spans="1:7" ht="42" customHeight="1" x14ac:dyDescent="0.3">
      <c r="A22" s="124" t="s">
        <v>56</v>
      </c>
      <c r="B22" s="124"/>
      <c r="C22" s="124"/>
      <c r="D22" s="124"/>
      <c r="E22" s="124"/>
      <c r="F22" s="124"/>
      <c r="G22" s="124"/>
    </row>
    <row r="23" spans="1:7" ht="36" customHeight="1" x14ac:dyDescent="0.3">
      <c r="A23" s="6"/>
      <c r="B23" s="5"/>
      <c r="C23" s="6"/>
      <c r="D23" s="6"/>
      <c r="E23" s="6" t="s">
        <v>38</v>
      </c>
      <c r="F23" s="6" t="s">
        <v>31</v>
      </c>
      <c r="G23" s="6" t="s">
        <v>2</v>
      </c>
    </row>
    <row r="24" spans="1:7" ht="26.25" customHeight="1" x14ac:dyDescent="0.3">
      <c r="A24" s="6" t="s">
        <v>32</v>
      </c>
      <c r="B24" s="5" t="s">
        <v>0</v>
      </c>
      <c r="C24" s="6" t="s">
        <v>1</v>
      </c>
      <c r="D24" s="6" t="s">
        <v>54</v>
      </c>
      <c r="E24" s="6" t="s">
        <v>35</v>
      </c>
      <c r="F24" s="66" t="s">
        <v>96</v>
      </c>
      <c r="G24" s="6" t="s">
        <v>3</v>
      </c>
    </row>
    <row r="25" spans="1:7" ht="15.75" customHeight="1" x14ac:dyDescent="0.3">
      <c r="A25" s="111">
        <v>4</v>
      </c>
      <c r="B25" s="120" t="s">
        <v>30</v>
      </c>
      <c r="C25" s="2" t="s">
        <v>3</v>
      </c>
      <c r="D25" s="2" t="s">
        <v>5</v>
      </c>
      <c r="E25" s="6">
        <v>16</v>
      </c>
      <c r="F25" s="10">
        <f t="shared" ref="F25:F27" si="1">0.2*1.5*1.8*E25</f>
        <v>8.6400000000000023</v>
      </c>
      <c r="G25" s="119">
        <f>SUM(F25:F27)</f>
        <v>12.420000000000003</v>
      </c>
    </row>
    <row r="26" spans="1:7" x14ac:dyDescent="0.3">
      <c r="A26" s="111"/>
      <c r="B26" s="120"/>
      <c r="C26" s="2" t="s">
        <v>3</v>
      </c>
      <c r="D26" s="2" t="s">
        <v>13</v>
      </c>
      <c r="E26" s="6">
        <v>6</v>
      </c>
      <c r="F26" s="10">
        <f t="shared" si="1"/>
        <v>3.2400000000000011</v>
      </c>
      <c r="G26" s="119"/>
    </row>
    <row r="27" spans="1:7" x14ac:dyDescent="0.3">
      <c r="A27" s="111"/>
      <c r="B27" s="120"/>
      <c r="C27" s="2" t="s">
        <v>3</v>
      </c>
      <c r="D27" s="2" t="s">
        <v>21</v>
      </c>
      <c r="E27" s="6">
        <v>1</v>
      </c>
      <c r="F27" s="10">
        <f t="shared" si="1"/>
        <v>0.54000000000000015</v>
      </c>
      <c r="G27" s="119"/>
    </row>
    <row r="28" spans="1:7" ht="15" thickBot="1" x14ac:dyDescent="0.35"/>
    <row r="29" spans="1:7" ht="15" thickBot="1" x14ac:dyDescent="0.35">
      <c r="E29" s="12">
        <f>SUM(E4:E27)</f>
        <v>141</v>
      </c>
      <c r="G29" s="8">
        <f>SUM(G4:G27)</f>
        <v>76.140000000000015</v>
      </c>
    </row>
  </sheetData>
  <mergeCells count="16">
    <mergeCell ref="A25:A27"/>
    <mergeCell ref="G25:G27"/>
    <mergeCell ref="B25:B27"/>
    <mergeCell ref="B10:B12"/>
    <mergeCell ref="A1:G1"/>
    <mergeCell ref="A4:A5"/>
    <mergeCell ref="G4:G5"/>
    <mergeCell ref="B4:B5"/>
    <mergeCell ref="B17:B20"/>
    <mergeCell ref="A10:A12"/>
    <mergeCell ref="G10:G12"/>
    <mergeCell ref="A17:A20"/>
    <mergeCell ref="G17:G20"/>
    <mergeCell ref="A7:G7"/>
    <mergeCell ref="A14:G14"/>
    <mergeCell ref="A22:G2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A10" zoomScaleNormal="100" workbookViewId="0">
      <selection activeCell="G30" sqref="G30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5" width="10.44140625" customWidth="1"/>
    <col min="6" max="6" width="22.6640625" customWidth="1"/>
    <col min="7" max="7" width="17.44140625" customWidth="1"/>
  </cols>
  <sheetData>
    <row r="1" spans="1:7" x14ac:dyDescent="0.3">
      <c r="A1" s="124" t="s">
        <v>36</v>
      </c>
      <c r="B1" s="124"/>
      <c r="C1" s="124"/>
      <c r="D1" s="124"/>
      <c r="E1" s="124"/>
      <c r="F1" s="124"/>
      <c r="G1" s="124"/>
    </row>
    <row r="2" spans="1:7" ht="26.4" x14ac:dyDescent="0.3">
      <c r="A2" s="48"/>
      <c r="B2" s="5"/>
      <c r="C2" s="48"/>
      <c r="D2" s="48"/>
      <c r="E2" s="48" t="s">
        <v>38</v>
      </c>
      <c r="F2" s="48" t="s">
        <v>31</v>
      </c>
      <c r="G2" s="48" t="s">
        <v>2</v>
      </c>
    </row>
    <row r="3" spans="1:7" ht="26.4" x14ac:dyDescent="0.3">
      <c r="A3" s="48" t="s">
        <v>32</v>
      </c>
      <c r="B3" s="5" t="s">
        <v>0</v>
      </c>
      <c r="C3" s="48" t="s">
        <v>1</v>
      </c>
      <c r="D3" s="48" t="s">
        <v>54</v>
      </c>
      <c r="E3" s="48" t="s">
        <v>35</v>
      </c>
      <c r="F3" s="48" t="s">
        <v>97</v>
      </c>
      <c r="G3" s="48"/>
    </row>
    <row r="4" spans="1:7" ht="24.9" customHeight="1" x14ac:dyDescent="0.3">
      <c r="A4" s="111">
        <v>1</v>
      </c>
      <c r="B4" s="120" t="s">
        <v>33</v>
      </c>
      <c r="C4" s="2" t="s">
        <v>3</v>
      </c>
      <c r="D4" s="2" t="s">
        <v>5</v>
      </c>
      <c r="E4" s="6">
        <v>23</v>
      </c>
      <c r="F4" s="10">
        <f>0.1*1.1*1.4*E4</f>
        <v>3.5419999999999998</v>
      </c>
      <c r="G4" s="119">
        <f>SUM(F4:F5)</f>
        <v>5.0819999999999999</v>
      </c>
    </row>
    <row r="5" spans="1:7" ht="24.9" customHeight="1" x14ac:dyDescent="0.3">
      <c r="A5" s="111"/>
      <c r="B5" s="120"/>
      <c r="C5" s="2" t="s">
        <v>3</v>
      </c>
      <c r="D5" s="2" t="s">
        <v>13</v>
      </c>
      <c r="E5" s="6">
        <v>10</v>
      </c>
      <c r="F5" s="10">
        <f>0.1*1.1*1.4*E5</f>
        <v>1.54</v>
      </c>
      <c r="G5" s="119"/>
    </row>
    <row r="6" spans="1:7" x14ac:dyDescent="0.3">
      <c r="A6" s="124" t="s">
        <v>36</v>
      </c>
      <c r="B6" s="124"/>
      <c r="C6" s="124"/>
      <c r="D6" s="124"/>
      <c r="E6" s="124"/>
      <c r="F6" s="124"/>
      <c r="G6" s="124"/>
    </row>
    <row r="7" spans="1:7" ht="26.4" x14ac:dyDescent="0.3">
      <c r="A7" s="48"/>
      <c r="B7" s="5"/>
      <c r="C7" s="48"/>
      <c r="D7" s="48"/>
      <c r="E7" s="48" t="s">
        <v>38</v>
      </c>
      <c r="F7" s="48" t="s">
        <v>31</v>
      </c>
      <c r="G7" s="48" t="s">
        <v>2</v>
      </c>
    </row>
    <row r="8" spans="1:7" ht="26.4" x14ac:dyDescent="0.3">
      <c r="A8" s="48" t="s">
        <v>32</v>
      </c>
      <c r="B8" s="5" t="s">
        <v>0</v>
      </c>
      <c r="C8" s="48" t="s">
        <v>1</v>
      </c>
      <c r="D8" s="48" t="s">
        <v>54</v>
      </c>
      <c r="E8" s="48" t="s">
        <v>35</v>
      </c>
      <c r="F8" s="66" t="s">
        <v>97</v>
      </c>
      <c r="G8" s="48"/>
    </row>
    <row r="9" spans="1:7" x14ac:dyDescent="0.3">
      <c r="A9" s="111">
        <v>2</v>
      </c>
      <c r="B9" s="120" t="s">
        <v>33</v>
      </c>
      <c r="C9" s="2" t="s">
        <v>3</v>
      </c>
      <c r="D9" s="2" t="s">
        <v>5</v>
      </c>
      <c r="E9" s="6">
        <v>15</v>
      </c>
      <c r="F9" s="10">
        <f>0.1*1.1*1.4*E9</f>
        <v>2.31</v>
      </c>
      <c r="G9" s="119">
        <f>SUM(F9:F11)</f>
        <v>7.2379999999999995</v>
      </c>
    </row>
    <row r="10" spans="1:7" ht="15.75" customHeight="1" x14ac:dyDescent="0.3">
      <c r="A10" s="111"/>
      <c r="B10" s="120"/>
      <c r="C10" s="2" t="s">
        <v>3</v>
      </c>
      <c r="D10" s="2" t="s">
        <v>13</v>
      </c>
      <c r="E10" s="6">
        <v>7</v>
      </c>
      <c r="F10" s="10">
        <f>0.1*1.1*1.4*E10</f>
        <v>1.0780000000000001</v>
      </c>
      <c r="G10" s="119"/>
    </row>
    <row r="11" spans="1:7" x14ac:dyDescent="0.3">
      <c r="A11" s="111"/>
      <c r="B11" s="120"/>
      <c r="C11" s="2" t="s">
        <v>3</v>
      </c>
      <c r="D11" s="2" t="s">
        <v>21</v>
      </c>
      <c r="E11" s="6">
        <f>Щебень!E12</f>
        <v>25</v>
      </c>
      <c r="F11" s="10">
        <f>0.1*1.1*1.4*E11</f>
        <v>3.85</v>
      </c>
      <c r="G11" s="119"/>
    </row>
    <row r="12" spans="1:7" x14ac:dyDescent="0.3">
      <c r="A12" s="124" t="s">
        <v>36</v>
      </c>
      <c r="B12" s="124"/>
      <c r="C12" s="124"/>
      <c r="D12" s="124"/>
      <c r="E12" s="124"/>
      <c r="F12" s="124"/>
      <c r="G12" s="124"/>
    </row>
    <row r="13" spans="1:7" ht="26.4" x14ac:dyDescent="0.3">
      <c r="A13" s="48"/>
      <c r="B13" s="5"/>
      <c r="C13" s="48"/>
      <c r="D13" s="48"/>
      <c r="E13" s="48" t="s">
        <v>38</v>
      </c>
      <c r="F13" s="48" t="s">
        <v>31</v>
      </c>
      <c r="G13" s="48" t="s">
        <v>2</v>
      </c>
    </row>
    <row r="14" spans="1:7" ht="26.4" x14ac:dyDescent="0.3">
      <c r="A14" s="48" t="s">
        <v>32</v>
      </c>
      <c r="B14" s="5" t="s">
        <v>0</v>
      </c>
      <c r="C14" s="48" t="s">
        <v>1</v>
      </c>
      <c r="D14" s="48" t="s">
        <v>54</v>
      </c>
      <c r="E14" s="48" t="s">
        <v>35</v>
      </c>
      <c r="F14" s="66" t="s">
        <v>97</v>
      </c>
      <c r="G14" s="48"/>
    </row>
    <row r="15" spans="1:7" x14ac:dyDescent="0.3">
      <c r="A15" s="111">
        <v>3</v>
      </c>
      <c r="B15" s="120" t="s">
        <v>33</v>
      </c>
      <c r="C15" s="2" t="s">
        <v>3</v>
      </c>
      <c r="D15" s="2" t="s">
        <v>5</v>
      </c>
      <c r="E15" s="6">
        <v>13</v>
      </c>
      <c r="F15" s="10">
        <f>0.1*1.1*1.4*E15</f>
        <v>2.0019999999999998</v>
      </c>
      <c r="G15" s="119">
        <f>SUM(F15:F18)</f>
        <v>5.8520000000000003</v>
      </c>
    </row>
    <row r="16" spans="1:7" x14ac:dyDescent="0.3">
      <c r="A16" s="111"/>
      <c r="B16" s="120"/>
      <c r="C16" s="2" t="s">
        <v>3</v>
      </c>
      <c r="D16" s="2" t="s">
        <v>13</v>
      </c>
      <c r="E16" s="6">
        <v>10</v>
      </c>
      <c r="F16" s="10">
        <f t="shared" ref="F16:F18" si="0">0.1*1.1*1.4*E16</f>
        <v>1.54</v>
      </c>
      <c r="G16" s="119"/>
    </row>
    <row r="17" spans="1:7" ht="15.75" customHeight="1" x14ac:dyDescent="0.3">
      <c r="A17" s="111"/>
      <c r="B17" s="120"/>
      <c r="C17" s="2" t="s">
        <v>3</v>
      </c>
      <c r="D17" s="2" t="s">
        <v>21</v>
      </c>
      <c r="E17" s="6">
        <v>10</v>
      </c>
      <c r="F17" s="10">
        <f t="shared" si="0"/>
        <v>1.54</v>
      </c>
      <c r="G17" s="119"/>
    </row>
    <row r="18" spans="1:7" x14ac:dyDescent="0.3">
      <c r="A18" s="111"/>
      <c r="B18" s="120"/>
      <c r="C18" s="2" t="s">
        <v>3</v>
      </c>
      <c r="D18" s="2" t="s">
        <v>22</v>
      </c>
      <c r="E18" s="6">
        <v>5</v>
      </c>
      <c r="F18" s="10">
        <f t="shared" si="0"/>
        <v>0.77</v>
      </c>
      <c r="G18" s="119"/>
    </row>
    <row r="19" spans="1:7" x14ac:dyDescent="0.3">
      <c r="A19" s="124" t="s">
        <v>36</v>
      </c>
      <c r="B19" s="124"/>
      <c r="C19" s="124"/>
      <c r="D19" s="124"/>
      <c r="E19" s="124"/>
      <c r="F19" s="124"/>
      <c r="G19" s="124"/>
    </row>
    <row r="20" spans="1:7" ht="26.4" x14ac:dyDescent="0.3">
      <c r="A20" s="48"/>
      <c r="B20" s="5"/>
      <c r="C20" s="48"/>
      <c r="D20" s="48"/>
      <c r="E20" s="48" t="s">
        <v>38</v>
      </c>
      <c r="F20" s="48" t="s">
        <v>31</v>
      </c>
      <c r="G20" s="48" t="s">
        <v>2</v>
      </c>
    </row>
    <row r="21" spans="1:7" ht="26.4" x14ac:dyDescent="0.3">
      <c r="A21" s="48" t="s">
        <v>32</v>
      </c>
      <c r="B21" s="5" t="s">
        <v>0</v>
      </c>
      <c r="C21" s="48" t="s">
        <v>1</v>
      </c>
      <c r="D21" s="48" t="s">
        <v>54</v>
      </c>
      <c r="E21" s="48" t="s">
        <v>35</v>
      </c>
      <c r="F21" s="66" t="s">
        <v>97</v>
      </c>
      <c r="G21" s="48"/>
    </row>
    <row r="22" spans="1:7" x14ac:dyDescent="0.3">
      <c r="A22" s="111">
        <v>4</v>
      </c>
      <c r="B22" s="120" t="s">
        <v>33</v>
      </c>
      <c r="C22" s="2" t="s">
        <v>3</v>
      </c>
      <c r="D22" s="2" t="s">
        <v>5</v>
      </c>
      <c r="E22" s="6">
        <v>16</v>
      </c>
      <c r="F22" s="10">
        <f t="shared" ref="F22:F24" si="1">0.1*1.1*1.4*E22</f>
        <v>2.464</v>
      </c>
      <c r="G22" s="119">
        <f>SUM(F22:F24)</f>
        <v>3.5419999999999998</v>
      </c>
    </row>
    <row r="23" spans="1:7" x14ac:dyDescent="0.3">
      <c r="A23" s="111"/>
      <c r="B23" s="120"/>
      <c r="C23" s="2" t="s">
        <v>3</v>
      </c>
      <c r="D23" s="2" t="s">
        <v>13</v>
      </c>
      <c r="E23" s="6">
        <v>6</v>
      </c>
      <c r="F23" s="10">
        <f t="shared" si="1"/>
        <v>0.92399999999999993</v>
      </c>
      <c r="G23" s="119"/>
    </row>
    <row r="24" spans="1:7" x14ac:dyDescent="0.3">
      <c r="A24" s="111"/>
      <c r="B24" s="120"/>
      <c r="C24" s="2" t="s">
        <v>3</v>
      </c>
      <c r="D24" s="2" t="s">
        <v>21</v>
      </c>
      <c r="E24" s="6">
        <v>1</v>
      </c>
      <c r="F24" s="10">
        <f t="shared" si="1"/>
        <v>0.154</v>
      </c>
      <c r="G24" s="119"/>
    </row>
    <row r="25" spans="1:7" ht="15" thickBot="1" x14ac:dyDescent="0.35"/>
    <row r="26" spans="1:7" ht="15" thickBot="1" x14ac:dyDescent="0.35">
      <c r="E26" s="12">
        <f>SUM(E4:E24)</f>
        <v>141</v>
      </c>
      <c r="G26" s="92">
        <f>SUM(G4:G24)</f>
        <v>21.713999999999999</v>
      </c>
    </row>
  </sheetData>
  <mergeCells count="16">
    <mergeCell ref="A1:G1"/>
    <mergeCell ref="A12:G12"/>
    <mergeCell ref="A19:G19"/>
    <mergeCell ref="A15:A18"/>
    <mergeCell ref="B15:B18"/>
    <mergeCell ref="G15:G18"/>
    <mergeCell ref="A22:A24"/>
    <mergeCell ref="B22:B24"/>
    <mergeCell ref="G22:G24"/>
    <mergeCell ref="A4:A5"/>
    <mergeCell ref="B4:B5"/>
    <mergeCell ref="G4:G5"/>
    <mergeCell ref="A9:A11"/>
    <mergeCell ref="B9:B11"/>
    <mergeCell ref="G9:G11"/>
    <mergeCell ref="A6:G6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abSelected="1" zoomScaleNormal="100" workbookViewId="0">
      <selection sqref="A1:G1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5" width="10.44140625" customWidth="1"/>
    <col min="6" max="6" width="22.6640625" customWidth="1"/>
    <col min="7" max="7" width="17.44140625" customWidth="1"/>
  </cols>
  <sheetData>
    <row r="1" spans="1:7" ht="15" customHeight="1" x14ac:dyDescent="0.3">
      <c r="A1" s="124" t="s">
        <v>119</v>
      </c>
      <c r="B1" s="124"/>
      <c r="C1" s="124"/>
      <c r="D1" s="124"/>
      <c r="E1" s="124"/>
      <c r="F1" s="124"/>
      <c r="G1" s="124"/>
    </row>
    <row r="2" spans="1:7" ht="26.1" customHeight="1" x14ac:dyDescent="0.3">
      <c r="A2" s="6"/>
      <c r="B2" s="5"/>
      <c r="C2" s="6"/>
      <c r="D2" s="6"/>
      <c r="E2" s="6" t="s">
        <v>38</v>
      </c>
      <c r="F2" s="6" t="s">
        <v>31</v>
      </c>
      <c r="G2" s="6" t="s">
        <v>2</v>
      </c>
    </row>
    <row r="3" spans="1:7" ht="26.1" customHeight="1" x14ac:dyDescent="0.3">
      <c r="A3" s="6" t="s">
        <v>32</v>
      </c>
      <c r="B3" s="5" t="s">
        <v>0</v>
      </c>
      <c r="C3" s="6" t="s">
        <v>1</v>
      </c>
      <c r="D3" s="6" t="s">
        <v>54</v>
      </c>
      <c r="E3" s="6" t="s">
        <v>35</v>
      </c>
      <c r="F3" s="6" t="s">
        <v>44</v>
      </c>
      <c r="G3" s="6"/>
    </row>
    <row r="4" spans="1:7" ht="24.9" customHeight="1" x14ac:dyDescent="0.3">
      <c r="A4" s="111">
        <v>1</v>
      </c>
      <c r="B4" s="120" t="s">
        <v>57</v>
      </c>
      <c r="C4" s="2" t="s">
        <v>3</v>
      </c>
      <c r="D4" s="2" t="s">
        <v>5</v>
      </c>
      <c r="E4" s="6">
        <v>23</v>
      </c>
      <c r="F4" s="10">
        <f>0.9*1.2*0.6*E4</f>
        <v>14.904</v>
      </c>
      <c r="G4" s="119">
        <f>SUM(F4:F5)</f>
        <v>21.384</v>
      </c>
    </row>
    <row r="5" spans="1:7" ht="24.9" customHeight="1" x14ac:dyDescent="0.3">
      <c r="A5" s="111"/>
      <c r="B5" s="120"/>
      <c r="C5" s="2" t="s">
        <v>3</v>
      </c>
      <c r="D5" s="2" t="s">
        <v>13</v>
      </c>
      <c r="E5" s="6">
        <v>10</v>
      </c>
      <c r="F5" s="10">
        <f>0.9*1.2*0.6*E5</f>
        <v>6.48</v>
      </c>
      <c r="G5" s="119"/>
    </row>
    <row r="6" spans="1:7" x14ac:dyDescent="0.3">
      <c r="A6" s="9"/>
      <c r="B6" s="9"/>
      <c r="C6" s="9"/>
      <c r="D6" s="9"/>
      <c r="E6" s="11"/>
      <c r="F6" s="9"/>
      <c r="G6" s="9"/>
    </row>
    <row r="7" spans="1:7" ht="15" customHeight="1" x14ac:dyDescent="0.3">
      <c r="A7" s="124" t="s">
        <v>119</v>
      </c>
      <c r="B7" s="124"/>
      <c r="C7" s="124"/>
      <c r="D7" s="124"/>
      <c r="E7" s="124"/>
      <c r="F7" s="124"/>
      <c r="G7" s="124"/>
    </row>
    <row r="8" spans="1:7" ht="26.1" customHeight="1" x14ac:dyDescent="0.3">
      <c r="A8" s="49"/>
      <c r="B8" s="5"/>
      <c r="C8" s="49"/>
      <c r="D8" s="49"/>
      <c r="E8" s="49" t="s">
        <v>38</v>
      </c>
      <c r="F8" s="49" t="s">
        <v>31</v>
      </c>
      <c r="G8" s="49" t="s">
        <v>2</v>
      </c>
    </row>
    <row r="9" spans="1:7" ht="26.1" customHeight="1" x14ac:dyDescent="0.3">
      <c r="A9" s="49" t="s">
        <v>32</v>
      </c>
      <c r="B9" s="5" t="s">
        <v>0</v>
      </c>
      <c r="C9" s="49" t="s">
        <v>1</v>
      </c>
      <c r="D9" s="49" t="s">
        <v>54</v>
      </c>
      <c r="E9" s="49" t="s">
        <v>35</v>
      </c>
      <c r="F9" s="49" t="s">
        <v>44</v>
      </c>
      <c r="G9" s="49"/>
    </row>
    <row r="10" spans="1:7" x14ac:dyDescent="0.3">
      <c r="A10" s="111">
        <v>2</v>
      </c>
      <c r="B10" s="120" t="s">
        <v>57</v>
      </c>
      <c r="C10" s="2" t="s">
        <v>3</v>
      </c>
      <c r="D10" s="2" t="s">
        <v>5</v>
      </c>
      <c r="E10" s="6">
        <v>15</v>
      </c>
      <c r="F10" s="10">
        <f>0.9*1.2*0.6*E10</f>
        <v>9.7200000000000006</v>
      </c>
      <c r="G10" s="119">
        <f>SUM(F10:F12)</f>
        <v>30.456</v>
      </c>
    </row>
    <row r="11" spans="1:7" x14ac:dyDescent="0.3">
      <c r="A11" s="111"/>
      <c r="B11" s="120"/>
      <c r="C11" s="2" t="s">
        <v>3</v>
      </c>
      <c r="D11" s="2" t="s">
        <v>13</v>
      </c>
      <c r="E11" s="6">
        <v>7</v>
      </c>
      <c r="F11" s="10">
        <f>0.9*1.2*0.6*E11</f>
        <v>4.5360000000000005</v>
      </c>
      <c r="G11" s="119"/>
    </row>
    <row r="12" spans="1:7" x14ac:dyDescent="0.3">
      <c r="A12" s="111"/>
      <c r="B12" s="120"/>
      <c r="C12" s="2" t="s">
        <v>3</v>
      </c>
      <c r="D12" s="2" t="s">
        <v>21</v>
      </c>
      <c r="E12" s="6">
        <f>Щебень!E12</f>
        <v>25</v>
      </c>
      <c r="F12" s="10">
        <f>0.9*1.2*0.6*E12</f>
        <v>16.2</v>
      </c>
      <c r="G12" s="119"/>
    </row>
    <row r="13" spans="1:7" x14ac:dyDescent="0.3">
      <c r="A13" s="9"/>
      <c r="B13" s="9"/>
      <c r="C13" s="9"/>
      <c r="D13" s="9"/>
      <c r="E13" s="11"/>
      <c r="F13" s="9"/>
      <c r="G13" s="9"/>
    </row>
    <row r="14" spans="1:7" ht="15" customHeight="1" x14ac:dyDescent="0.3">
      <c r="A14" s="124" t="s">
        <v>119</v>
      </c>
      <c r="B14" s="124"/>
      <c r="C14" s="124"/>
      <c r="D14" s="124"/>
      <c r="E14" s="124"/>
      <c r="F14" s="124"/>
      <c r="G14" s="124"/>
    </row>
    <row r="15" spans="1:7" ht="26.1" customHeight="1" x14ac:dyDescent="0.3">
      <c r="A15" s="49"/>
      <c r="B15" s="5"/>
      <c r="C15" s="49"/>
      <c r="D15" s="49"/>
      <c r="E15" s="49" t="s">
        <v>38</v>
      </c>
      <c r="F15" s="49" t="s">
        <v>31</v>
      </c>
      <c r="G15" s="49" t="s">
        <v>2</v>
      </c>
    </row>
    <row r="16" spans="1:7" ht="26.1" customHeight="1" x14ac:dyDescent="0.3">
      <c r="A16" s="49" t="s">
        <v>32</v>
      </c>
      <c r="B16" s="5" t="s">
        <v>0</v>
      </c>
      <c r="C16" s="49" t="s">
        <v>1</v>
      </c>
      <c r="D16" s="49" t="s">
        <v>54</v>
      </c>
      <c r="E16" s="49" t="s">
        <v>35</v>
      </c>
      <c r="F16" s="49" t="s">
        <v>44</v>
      </c>
      <c r="G16" s="49"/>
    </row>
    <row r="17" spans="1:7" ht="15.75" customHeight="1" x14ac:dyDescent="0.3">
      <c r="A17" s="111">
        <v>3</v>
      </c>
      <c r="B17" s="120" t="s">
        <v>57</v>
      </c>
      <c r="C17" s="2" t="s">
        <v>3</v>
      </c>
      <c r="D17" s="2" t="s">
        <v>5</v>
      </c>
      <c r="E17" s="6">
        <v>13</v>
      </c>
      <c r="F17" s="10">
        <f>0.9*1.2*0.6*E17</f>
        <v>8.4239999999999995</v>
      </c>
      <c r="G17" s="119">
        <f>SUM(F17:F20)</f>
        <v>25.884</v>
      </c>
    </row>
    <row r="18" spans="1:7" x14ac:dyDescent="0.3">
      <c r="A18" s="111"/>
      <c r="B18" s="120"/>
      <c r="C18" s="2" t="s">
        <v>3</v>
      </c>
      <c r="D18" s="2" t="s">
        <v>13</v>
      </c>
      <c r="E18" s="6">
        <v>10</v>
      </c>
      <c r="F18" s="10">
        <f>0.9*1.2*0.6*E18</f>
        <v>6.48</v>
      </c>
      <c r="G18" s="119"/>
    </row>
    <row r="19" spans="1:7" x14ac:dyDescent="0.3">
      <c r="A19" s="111"/>
      <c r="B19" s="120"/>
      <c r="C19" s="2" t="s">
        <v>3</v>
      </c>
      <c r="D19" s="2" t="s">
        <v>21</v>
      </c>
      <c r="E19" s="6">
        <v>10</v>
      </c>
      <c r="F19" s="10">
        <f>0.9*1.2*0.6*E19</f>
        <v>6.48</v>
      </c>
      <c r="G19" s="119"/>
    </row>
    <row r="20" spans="1:7" x14ac:dyDescent="0.3">
      <c r="A20" s="111"/>
      <c r="B20" s="120"/>
      <c r="C20" s="2" t="s">
        <v>3</v>
      </c>
      <c r="D20" s="2" t="s">
        <v>22</v>
      </c>
      <c r="E20" s="6">
        <v>5</v>
      </c>
      <c r="F20" s="10">
        <f>1.2*1.25*0.6*E20</f>
        <v>4.5</v>
      </c>
      <c r="G20" s="119"/>
    </row>
    <row r="21" spans="1:7" x14ac:dyDescent="0.3">
      <c r="A21" s="9"/>
      <c r="B21" s="9"/>
      <c r="C21" s="9"/>
      <c r="D21" s="9"/>
      <c r="E21" s="11"/>
      <c r="F21" s="9"/>
      <c r="G21" s="9"/>
    </row>
    <row r="22" spans="1:7" ht="15" customHeight="1" x14ac:dyDescent="0.3">
      <c r="A22" s="124" t="s">
        <v>119</v>
      </c>
      <c r="B22" s="124"/>
      <c r="C22" s="124"/>
      <c r="D22" s="124"/>
      <c r="E22" s="124"/>
      <c r="F22" s="124"/>
      <c r="G22" s="124"/>
    </row>
    <row r="23" spans="1:7" ht="26.1" customHeight="1" x14ac:dyDescent="0.3">
      <c r="A23" s="49"/>
      <c r="B23" s="5"/>
      <c r="C23" s="49"/>
      <c r="D23" s="49"/>
      <c r="E23" s="49" t="s">
        <v>38</v>
      </c>
      <c r="F23" s="49" t="s">
        <v>31</v>
      </c>
      <c r="G23" s="49" t="s">
        <v>2</v>
      </c>
    </row>
    <row r="24" spans="1:7" ht="26.1" customHeight="1" x14ac:dyDescent="0.3">
      <c r="A24" s="49" t="s">
        <v>32</v>
      </c>
      <c r="B24" s="5" t="s">
        <v>0</v>
      </c>
      <c r="C24" s="49" t="s">
        <v>1</v>
      </c>
      <c r="D24" s="49" t="s">
        <v>54</v>
      </c>
      <c r="E24" s="49" t="s">
        <v>35</v>
      </c>
      <c r="F24" s="49" t="s">
        <v>44</v>
      </c>
      <c r="G24" s="49"/>
    </row>
    <row r="25" spans="1:7" ht="15.75" customHeight="1" x14ac:dyDescent="0.3">
      <c r="A25" s="111">
        <v>4</v>
      </c>
      <c r="B25" s="120" t="s">
        <v>57</v>
      </c>
      <c r="C25" s="2" t="s">
        <v>3</v>
      </c>
      <c r="D25" s="2" t="s">
        <v>5</v>
      </c>
      <c r="E25" s="6">
        <v>16</v>
      </c>
      <c r="F25" s="10">
        <f>0.9*1.2*0.6*E25</f>
        <v>10.368</v>
      </c>
      <c r="G25" s="119">
        <f>SUM(F25:F27)</f>
        <v>14.904</v>
      </c>
    </row>
    <row r="26" spans="1:7" x14ac:dyDescent="0.3">
      <c r="A26" s="111"/>
      <c r="B26" s="120"/>
      <c r="C26" s="2" t="s">
        <v>3</v>
      </c>
      <c r="D26" s="2" t="s">
        <v>13</v>
      </c>
      <c r="E26" s="6">
        <v>6</v>
      </c>
      <c r="F26" s="10">
        <f>0.9*1.2*0.6*E26</f>
        <v>3.8879999999999999</v>
      </c>
      <c r="G26" s="119"/>
    </row>
    <row r="27" spans="1:7" x14ac:dyDescent="0.3">
      <c r="A27" s="111"/>
      <c r="B27" s="120"/>
      <c r="C27" s="2" t="s">
        <v>3</v>
      </c>
      <c r="D27" s="2" t="s">
        <v>21</v>
      </c>
      <c r="E27" s="6">
        <v>1</v>
      </c>
      <c r="F27" s="10">
        <f>0.9*1.2*0.6*E27</f>
        <v>0.64800000000000002</v>
      </c>
      <c r="G27" s="119"/>
    </row>
    <row r="28" spans="1:7" ht="15" thickBot="1" x14ac:dyDescent="0.35"/>
    <row r="29" spans="1:7" ht="15" thickBot="1" x14ac:dyDescent="0.35">
      <c r="E29" s="12">
        <f>SUM(E4:E27)</f>
        <v>141</v>
      </c>
      <c r="G29" s="92">
        <f>SUM(G4:G27)</f>
        <v>92.628</v>
      </c>
    </row>
  </sheetData>
  <mergeCells count="16">
    <mergeCell ref="A25:A27"/>
    <mergeCell ref="B25:B27"/>
    <mergeCell ref="G25:G27"/>
    <mergeCell ref="A14:G14"/>
    <mergeCell ref="A22:G22"/>
    <mergeCell ref="A17:A20"/>
    <mergeCell ref="B17:B20"/>
    <mergeCell ref="G17:G20"/>
    <mergeCell ref="A1:G1"/>
    <mergeCell ref="A4:A5"/>
    <mergeCell ref="B4:B5"/>
    <mergeCell ref="G4:G5"/>
    <mergeCell ref="A10:A12"/>
    <mergeCell ref="B10:B12"/>
    <mergeCell ref="G10:G12"/>
    <mergeCell ref="A7:G7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topLeftCell="A28" zoomScaleNormal="100" workbookViewId="0">
      <selection activeCell="I35" sqref="I35"/>
    </sheetView>
  </sheetViews>
  <sheetFormatPr defaultRowHeight="14.4" x14ac:dyDescent="0.3"/>
  <cols>
    <col min="1" max="1" width="7.6640625" customWidth="1"/>
    <col min="2" max="2" width="14" customWidth="1"/>
    <col min="3" max="3" width="14.44140625" customWidth="1"/>
    <col min="4" max="4" width="16.88671875" customWidth="1"/>
    <col min="5" max="7" width="19.33203125" customWidth="1"/>
    <col min="8" max="8" width="23.44140625" customWidth="1"/>
    <col min="9" max="9" width="23.5546875" customWidth="1"/>
  </cols>
  <sheetData>
    <row r="1" spans="1:9" x14ac:dyDescent="0.3">
      <c r="A1" s="129" t="s">
        <v>79</v>
      </c>
      <c r="B1" s="130"/>
      <c r="C1" s="130"/>
      <c r="D1" s="130"/>
      <c r="E1" s="130"/>
      <c r="F1" s="130"/>
      <c r="G1" s="130"/>
      <c r="H1" s="130"/>
      <c r="I1" s="131"/>
    </row>
    <row r="2" spans="1:9" x14ac:dyDescent="0.3">
      <c r="A2" s="19"/>
      <c r="D2" s="50" t="s">
        <v>34</v>
      </c>
      <c r="E2" s="50" t="s">
        <v>40</v>
      </c>
      <c r="F2" s="50" t="s">
        <v>43</v>
      </c>
      <c r="G2" s="50" t="s">
        <v>41</v>
      </c>
      <c r="H2" s="118" t="s">
        <v>42</v>
      </c>
      <c r="I2" s="118"/>
    </row>
    <row r="3" spans="1:9" ht="26.1" customHeight="1" x14ac:dyDescent="0.3">
      <c r="A3" s="52"/>
      <c r="B3" s="52"/>
      <c r="C3" s="52"/>
      <c r="D3" s="51" t="s">
        <v>46</v>
      </c>
      <c r="E3" s="51" t="s">
        <v>49</v>
      </c>
      <c r="F3" s="51" t="s">
        <v>50</v>
      </c>
      <c r="G3" s="7" t="s">
        <v>53</v>
      </c>
      <c r="H3" s="7" t="s">
        <v>52</v>
      </c>
      <c r="I3" s="7" t="s">
        <v>17</v>
      </c>
    </row>
    <row r="4" spans="1:9" ht="26.1" customHeight="1" x14ac:dyDescent="0.3">
      <c r="A4" s="2" t="s">
        <v>32</v>
      </c>
      <c r="B4" s="52" t="s">
        <v>54</v>
      </c>
      <c r="C4" s="53" t="s">
        <v>7</v>
      </c>
      <c r="D4" s="50"/>
      <c r="E4" s="53" t="s">
        <v>96</v>
      </c>
      <c r="F4" s="53" t="s">
        <v>97</v>
      </c>
      <c r="G4" s="50" t="s">
        <v>64</v>
      </c>
      <c r="H4" s="50" t="s">
        <v>99</v>
      </c>
      <c r="I4" s="50" t="s">
        <v>51</v>
      </c>
    </row>
    <row r="5" spans="1:9" ht="24.9" customHeight="1" x14ac:dyDescent="0.3">
      <c r="A5" s="132">
        <v>1</v>
      </c>
      <c r="B5" s="2" t="s">
        <v>5</v>
      </c>
      <c r="C5" s="2">
        <f>Грунт!E4</f>
        <v>90.5</v>
      </c>
      <c r="D5" s="41">
        <v>23</v>
      </c>
      <c r="E5" s="23">
        <f>'Сводная '!K5</f>
        <v>12.420000000000003</v>
      </c>
      <c r="F5" s="23">
        <f>'Сводная '!L5</f>
        <v>3.5419999999999998</v>
      </c>
      <c r="G5" s="23">
        <v>12.420000000000002</v>
      </c>
      <c r="H5" s="23">
        <f>'Сводная '!N5</f>
        <v>157.24799999999999</v>
      </c>
      <c r="I5" s="23">
        <f>'Сводная '!O5</f>
        <v>126.38199999999998</v>
      </c>
    </row>
    <row r="6" spans="1:9" ht="24.9" customHeight="1" thickBot="1" x14ac:dyDescent="0.35">
      <c r="A6" s="132"/>
      <c r="B6" s="2" t="s">
        <v>13</v>
      </c>
      <c r="C6" s="2">
        <f>Грунт!E5</f>
        <v>40</v>
      </c>
      <c r="D6" s="43">
        <v>10</v>
      </c>
      <c r="E6" s="23">
        <f>'Сводная '!K6</f>
        <v>5.4000000000000012</v>
      </c>
      <c r="F6" s="23">
        <f>'Сводная '!L6</f>
        <v>1.54</v>
      </c>
      <c r="G6" s="23">
        <v>5.4</v>
      </c>
      <c r="H6" s="23">
        <f>'Сводная '!N6</f>
        <v>86.4</v>
      </c>
      <c r="I6" s="23">
        <f>'Сводная '!O6</f>
        <v>72.97999999999999</v>
      </c>
    </row>
    <row r="7" spans="1:9" ht="15" thickBot="1" x14ac:dyDescent="0.35">
      <c r="A7" s="19"/>
      <c r="B7" s="19"/>
      <c r="C7" s="19"/>
      <c r="D7" s="73">
        <f t="shared" ref="D7:I7" si="0">SUM(D5:D6)</f>
        <v>33</v>
      </c>
      <c r="E7" s="74">
        <f t="shared" si="0"/>
        <v>17.820000000000004</v>
      </c>
      <c r="F7" s="74">
        <f t="shared" si="0"/>
        <v>5.0819999999999999</v>
      </c>
      <c r="G7" s="74">
        <f t="shared" si="0"/>
        <v>17.82</v>
      </c>
      <c r="H7" s="74">
        <f t="shared" si="0"/>
        <v>243.648</v>
      </c>
      <c r="I7" s="74">
        <f t="shared" si="0"/>
        <v>199.36199999999997</v>
      </c>
    </row>
    <row r="8" spans="1:9" x14ac:dyDescent="0.3">
      <c r="A8" s="28"/>
      <c r="B8" s="28"/>
      <c r="C8" s="28"/>
      <c r="D8" s="32"/>
      <c r="E8" s="32"/>
      <c r="F8" s="32"/>
      <c r="G8" s="32"/>
      <c r="H8" s="32"/>
      <c r="I8" s="32"/>
    </row>
    <row r="9" spans="1:9" x14ac:dyDescent="0.3">
      <c r="A9" s="129" t="s">
        <v>79</v>
      </c>
      <c r="B9" s="130"/>
      <c r="C9" s="130"/>
      <c r="D9" s="130"/>
      <c r="E9" s="130"/>
      <c r="F9" s="130"/>
      <c r="G9" s="130"/>
      <c r="H9" s="130"/>
      <c r="I9" s="131"/>
    </row>
    <row r="10" spans="1:9" x14ac:dyDescent="0.3">
      <c r="A10" s="19"/>
      <c r="D10" s="50" t="s">
        <v>34</v>
      </c>
      <c r="E10" s="50" t="s">
        <v>40</v>
      </c>
      <c r="F10" s="50" t="s">
        <v>43</v>
      </c>
      <c r="G10" s="50" t="s">
        <v>41</v>
      </c>
      <c r="H10" s="118" t="s">
        <v>42</v>
      </c>
      <c r="I10" s="118"/>
    </row>
    <row r="11" spans="1:9" ht="26.1" customHeight="1" x14ac:dyDescent="0.3">
      <c r="A11" s="52"/>
      <c r="B11" s="52"/>
      <c r="C11" s="52"/>
      <c r="D11" s="51" t="s">
        <v>46</v>
      </c>
      <c r="E11" s="51" t="s">
        <v>49</v>
      </c>
      <c r="F11" s="51" t="s">
        <v>50</v>
      </c>
      <c r="G11" s="7" t="s">
        <v>53</v>
      </c>
      <c r="H11" s="7" t="s">
        <v>52</v>
      </c>
      <c r="I11" s="7" t="s">
        <v>17</v>
      </c>
    </row>
    <row r="12" spans="1:9" ht="26.1" customHeight="1" x14ac:dyDescent="0.3">
      <c r="A12" s="2" t="s">
        <v>32</v>
      </c>
      <c r="B12" s="52" t="s">
        <v>54</v>
      </c>
      <c r="C12" s="53" t="s">
        <v>7</v>
      </c>
      <c r="D12" s="50"/>
      <c r="E12" s="86" t="s">
        <v>96</v>
      </c>
      <c r="F12" s="85" t="s">
        <v>97</v>
      </c>
      <c r="G12" s="50" t="s">
        <v>64</v>
      </c>
      <c r="H12" s="50" t="s">
        <v>45</v>
      </c>
      <c r="I12" s="50" t="s">
        <v>51</v>
      </c>
    </row>
    <row r="13" spans="1:9" x14ac:dyDescent="0.3">
      <c r="A13" s="132">
        <v>2</v>
      </c>
      <c r="B13" s="2" t="s">
        <v>5</v>
      </c>
      <c r="C13" s="2">
        <f>Грунт!E10</f>
        <v>61.5</v>
      </c>
      <c r="D13" s="41">
        <v>15</v>
      </c>
      <c r="E13" s="23">
        <f>'Сводная '!K9</f>
        <v>8.1000000000000014</v>
      </c>
      <c r="F13" s="23">
        <f>'Сводная '!L9</f>
        <v>2.31</v>
      </c>
      <c r="G13" s="23">
        <v>8.1000000000000014</v>
      </c>
      <c r="H13" s="23">
        <v>125.98400000000001</v>
      </c>
      <c r="I13" s="23">
        <f>'Сводная '!O9</f>
        <v>89.597999999999985</v>
      </c>
    </row>
    <row r="14" spans="1:9" x14ac:dyDescent="0.3">
      <c r="A14" s="132"/>
      <c r="B14" s="2" t="s">
        <v>13</v>
      </c>
      <c r="C14" s="2">
        <f>Грунт!E11</f>
        <v>21.6</v>
      </c>
      <c r="D14" s="41">
        <v>7</v>
      </c>
      <c r="E14" s="23">
        <f>'Сводная '!K10</f>
        <v>3.7800000000000011</v>
      </c>
      <c r="F14" s="23">
        <f>'Сводная '!L10</f>
        <v>1.0780000000000001</v>
      </c>
      <c r="G14" s="23">
        <v>3.7800000000000002</v>
      </c>
      <c r="H14" s="23">
        <v>53.568000000000012</v>
      </c>
      <c r="I14" s="23">
        <f>'Сводная '!O10</f>
        <v>37.262</v>
      </c>
    </row>
    <row r="15" spans="1:9" ht="15" thickBot="1" x14ac:dyDescent="0.35">
      <c r="A15" s="132"/>
      <c r="B15" s="2" t="s">
        <v>21</v>
      </c>
      <c r="C15" s="2">
        <f>Грунт!E12</f>
        <v>88.8</v>
      </c>
      <c r="D15" s="43">
        <f>Щебень!E12</f>
        <v>25</v>
      </c>
      <c r="E15" s="23">
        <f>'Сводная '!K11</f>
        <v>13.500000000000004</v>
      </c>
      <c r="F15" s="23">
        <f>'Сводная '!L11</f>
        <v>3.85</v>
      </c>
      <c r="G15" s="23">
        <v>9.7200000000000006</v>
      </c>
      <c r="H15" s="24">
        <v>220.22400000000002</v>
      </c>
      <c r="I15" s="23">
        <f>'Сводная '!O11</f>
        <v>158.90600000000001</v>
      </c>
    </row>
    <row r="16" spans="1:9" ht="15" thickBot="1" x14ac:dyDescent="0.35">
      <c r="A16" s="19"/>
      <c r="B16" s="19"/>
      <c r="C16" s="19"/>
      <c r="D16" s="35">
        <f>SUM(D13:D15)</f>
        <v>47</v>
      </c>
      <c r="E16" s="26">
        <f>SUM(E13:E15)</f>
        <v>25.380000000000006</v>
      </c>
      <c r="F16" s="26">
        <f>SUM(F13:F15)</f>
        <v>7.2379999999999995</v>
      </c>
      <c r="G16" s="26">
        <f t="shared" ref="G16:I16" si="1">SUM(G13:G15)</f>
        <v>21.6</v>
      </c>
      <c r="H16" s="26">
        <f t="shared" si="1"/>
        <v>399.77600000000007</v>
      </c>
      <c r="I16" s="26">
        <f t="shared" si="1"/>
        <v>285.76599999999996</v>
      </c>
    </row>
    <row r="17" spans="1:9" x14ac:dyDescent="0.3">
      <c r="A17" s="31"/>
      <c r="B17" s="29"/>
      <c r="C17" s="31"/>
      <c r="D17" s="32"/>
      <c r="E17" s="32"/>
      <c r="F17" s="32"/>
      <c r="G17" s="32"/>
      <c r="H17" s="32"/>
      <c r="I17" s="32"/>
    </row>
    <row r="18" spans="1:9" x14ac:dyDescent="0.3">
      <c r="A18" s="129" t="s">
        <v>79</v>
      </c>
      <c r="B18" s="130"/>
      <c r="C18" s="130"/>
      <c r="D18" s="130"/>
      <c r="E18" s="130"/>
      <c r="F18" s="130"/>
      <c r="G18" s="130"/>
      <c r="H18" s="130"/>
      <c r="I18" s="131"/>
    </row>
    <row r="19" spans="1:9" x14ac:dyDescent="0.3">
      <c r="A19" s="19"/>
      <c r="D19" s="50" t="s">
        <v>34</v>
      </c>
      <c r="E19" s="50" t="s">
        <v>40</v>
      </c>
      <c r="F19" s="50" t="s">
        <v>43</v>
      </c>
      <c r="G19" s="50" t="s">
        <v>41</v>
      </c>
      <c r="H19" s="118" t="s">
        <v>42</v>
      </c>
      <c r="I19" s="118"/>
    </row>
    <row r="20" spans="1:9" ht="26.1" customHeight="1" x14ac:dyDescent="0.3">
      <c r="A20" s="52"/>
      <c r="B20" s="52"/>
      <c r="C20" s="52"/>
      <c r="D20" s="51" t="s">
        <v>46</v>
      </c>
      <c r="E20" s="51" t="s">
        <v>49</v>
      </c>
      <c r="F20" s="51" t="s">
        <v>50</v>
      </c>
      <c r="G20" s="7" t="s">
        <v>53</v>
      </c>
      <c r="H20" s="7" t="s">
        <v>52</v>
      </c>
      <c r="I20" s="7" t="s">
        <v>17</v>
      </c>
    </row>
    <row r="21" spans="1:9" ht="26.1" customHeight="1" x14ac:dyDescent="0.3">
      <c r="A21" s="2" t="s">
        <v>32</v>
      </c>
      <c r="B21" s="52" t="s">
        <v>54</v>
      </c>
      <c r="C21" s="53" t="s">
        <v>7</v>
      </c>
      <c r="D21" s="50"/>
      <c r="E21" s="86" t="s">
        <v>96</v>
      </c>
      <c r="F21" s="85" t="s">
        <v>97</v>
      </c>
      <c r="G21" s="50" t="s">
        <v>64</v>
      </c>
      <c r="H21" s="50" t="s">
        <v>45</v>
      </c>
      <c r="I21" s="50" t="s">
        <v>51</v>
      </c>
    </row>
    <row r="22" spans="1:9" x14ac:dyDescent="0.3">
      <c r="A22" s="132">
        <v>3</v>
      </c>
      <c r="B22" s="2" t="s">
        <v>5</v>
      </c>
      <c r="C22" s="2">
        <f>Грунт!E17</f>
        <v>53.9</v>
      </c>
      <c r="D22" s="41">
        <v>13</v>
      </c>
      <c r="E22" s="23">
        <f>'Сводная '!K14</f>
        <v>7.0200000000000022</v>
      </c>
      <c r="F22" s="23">
        <f>'Сводная '!L14</f>
        <v>2.0019999999999998</v>
      </c>
      <c r="G22" s="23">
        <v>7.0200000000000005</v>
      </c>
      <c r="H22" s="23">
        <v>133.67200000000003</v>
      </c>
      <c r="I22" s="23">
        <f>'Сводная '!O14</f>
        <v>98.978000000000009</v>
      </c>
    </row>
    <row r="23" spans="1:9" x14ac:dyDescent="0.3">
      <c r="A23" s="132"/>
      <c r="B23" s="2" t="s">
        <v>13</v>
      </c>
      <c r="C23" s="2">
        <f>Грунт!E18</f>
        <v>38.200000000000003</v>
      </c>
      <c r="D23" s="41">
        <v>10</v>
      </c>
      <c r="E23" s="23">
        <f>'Сводная '!K15</f>
        <v>5.4000000000000012</v>
      </c>
      <c r="F23" s="23">
        <f>'Сводная '!L15</f>
        <v>1.54</v>
      </c>
      <c r="G23" s="23">
        <v>5.4</v>
      </c>
      <c r="H23" s="23">
        <v>94.736000000000018</v>
      </c>
      <c r="I23" s="23">
        <f>'Сводная '!O15</f>
        <v>69.091999999999999</v>
      </c>
    </row>
    <row r="24" spans="1:9" x14ac:dyDescent="0.3">
      <c r="A24" s="132"/>
      <c r="B24" s="2" t="s">
        <v>21</v>
      </c>
      <c r="C24" s="2">
        <f>Грунт!E19</f>
        <v>44.300000000000004</v>
      </c>
      <c r="D24" s="41">
        <v>10</v>
      </c>
      <c r="E24" s="23">
        <f>'Сводная '!K16</f>
        <v>5.4000000000000012</v>
      </c>
      <c r="F24" s="23">
        <f>'Сводная '!L16</f>
        <v>1.54</v>
      </c>
      <c r="G24" s="23">
        <v>5.4</v>
      </c>
      <c r="H24" s="23">
        <v>99.448000000000022</v>
      </c>
      <c r="I24" s="23">
        <f>'Сводная '!O16</f>
        <v>73.195999999999998</v>
      </c>
    </row>
    <row r="25" spans="1:9" ht="15" thickBot="1" x14ac:dyDescent="0.35">
      <c r="A25" s="132"/>
      <c r="B25" s="2" t="s">
        <v>22</v>
      </c>
      <c r="C25" s="2">
        <f>Грунт!E20</f>
        <v>18.7</v>
      </c>
      <c r="D25" s="43">
        <v>5</v>
      </c>
      <c r="E25" s="23">
        <f>'Сводная '!K17</f>
        <v>2.7000000000000006</v>
      </c>
      <c r="F25" s="23">
        <f>'Сводная '!L17</f>
        <v>0.77</v>
      </c>
      <c r="G25" s="24">
        <v>3.75</v>
      </c>
      <c r="H25" s="24">
        <v>46.376000000000005</v>
      </c>
      <c r="I25" s="23">
        <f>'Сводная '!O17</f>
        <v>32.421999999999997</v>
      </c>
    </row>
    <row r="26" spans="1:9" ht="15" thickBot="1" x14ac:dyDescent="0.35">
      <c r="A26" s="19"/>
      <c r="B26" s="19"/>
      <c r="C26" s="19"/>
      <c r="D26" s="35">
        <f>SUM(D22:D25)</f>
        <v>38</v>
      </c>
      <c r="E26" s="26">
        <f>SUM(E22:E25)</f>
        <v>20.520000000000003</v>
      </c>
      <c r="F26" s="26">
        <f>SUM(F22:F25)</f>
        <v>5.8520000000000003</v>
      </c>
      <c r="G26" s="26">
        <f t="shared" ref="G26:I26" si="2">SUM(G22:G25)</f>
        <v>21.57</v>
      </c>
      <c r="H26" s="26">
        <f t="shared" si="2"/>
        <v>374.23200000000008</v>
      </c>
      <c r="I26" s="26">
        <f t="shared" si="2"/>
        <v>273.68799999999999</v>
      </c>
    </row>
    <row r="27" spans="1:9" x14ac:dyDescent="0.3">
      <c r="A27" s="31"/>
      <c r="B27" s="29"/>
      <c r="C27" s="31"/>
      <c r="D27" s="32"/>
      <c r="E27" s="32"/>
      <c r="F27" s="32"/>
      <c r="G27" s="32"/>
      <c r="H27" s="32"/>
      <c r="I27" s="32"/>
    </row>
    <row r="28" spans="1:9" x14ac:dyDescent="0.3">
      <c r="A28" s="129" t="s">
        <v>79</v>
      </c>
      <c r="B28" s="130"/>
      <c r="C28" s="130"/>
      <c r="D28" s="130"/>
      <c r="E28" s="130"/>
      <c r="F28" s="130"/>
      <c r="G28" s="130"/>
      <c r="H28" s="130"/>
      <c r="I28" s="131"/>
    </row>
    <row r="29" spans="1:9" x14ac:dyDescent="0.3">
      <c r="A29" s="19"/>
      <c r="D29" s="50" t="s">
        <v>34</v>
      </c>
      <c r="E29" s="50" t="s">
        <v>40</v>
      </c>
      <c r="F29" s="50" t="s">
        <v>43</v>
      </c>
      <c r="G29" s="50" t="s">
        <v>41</v>
      </c>
      <c r="H29" s="118" t="s">
        <v>42</v>
      </c>
      <c r="I29" s="118"/>
    </row>
    <row r="30" spans="1:9" ht="26.1" customHeight="1" x14ac:dyDescent="0.3">
      <c r="A30" s="52"/>
      <c r="B30" s="52"/>
      <c r="C30" s="52"/>
      <c r="D30" s="51" t="s">
        <v>46</v>
      </c>
      <c r="E30" s="51" t="s">
        <v>49</v>
      </c>
      <c r="F30" s="51" t="s">
        <v>50</v>
      </c>
      <c r="G30" s="7" t="s">
        <v>53</v>
      </c>
      <c r="H30" s="7" t="s">
        <v>52</v>
      </c>
      <c r="I30" s="7" t="s">
        <v>17</v>
      </c>
    </row>
    <row r="31" spans="1:9" ht="26.1" customHeight="1" x14ac:dyDescent="0.3">
      <c r="A31" s="2" t="s">
        <v>32</v>
      </c>
      <c r="B31" s="52" t="s">
        <v>54</v>
      </c>
      <c r="C31" s="53" t="s">
        <v>7</v>
      </c>
      <c r="D31" s="50"/>
      <c r="E31" s="86" t="s">
        <v>96</v>
      </c>
      <c r="F31" s="85" t="s">
        <v>97</v>
      </c>
      <c r="G31" s="50" t="s">
        <v>64</v>
      </c>
      <c r="H31" s="50" t="s">
        <v>45</v>
      </c>
      <c r="I31" s="50" t="s">
        <v>51</v>
      </c>
    </row>
    <row r="32" spans="1:9" x14ac:dyDescent="0.3">
      <c r="A32" s="132">
        <v>4</v>
      </c>
      <c r="B32" s="2" t="s">
        <v>5</v>
      </c>
      <c r="C32" s="2">
        <f>Грунт!E25</f>
        <v>61.5</v>
      </c>
      <c r="D32" s="41">
        <v>16</v>
      </c>
      <c r="E32" s="23">
        <f>'Сводная '!K20</f>
        <v>8.6400000000000023</v>
      </c>
      <c r="F32" s="23">
        <f>'Сводная '!L20</f>
        <v>2.464</v>
      </c>
      <c r="G32" s="23">
        <v>8.64</v>
      </c>
      <c r="H32" s="23">
        <v>152.52000000000004</v>
      </c>
      <c r="I32" s="23">
        <f>'Сводная '!O20</f>
        <v>111.36800000000001</v>
      </c>
    </row>
    <row r="33" spans="1:9" x14ac:dyDescent="0.3">
      <c r="A33" s="132"/>
      <c r="B33" s="2" t="s">
        <v>13</v>
      </c>
      <c r="C33" s="2">
        <f>Грунт!E26</f>
        <v>25.3</v>
      </c>
      <c r="D33" s="41">
        <v>6</v>
      </c>
      <c r="E33" s="23">
        <f>'Сводная '!K21</f>
        <v>3.2400000000000011</v>
      </c>
      <c r="F33" s="23">
        <f>'Сводная '!L21</f>
        <v>0.92399999999999993</v>
      </c>
      <c r="G33" s="23">
        <v>3.24</v>
      </c>
      <c r="H33" s="23">
        <v>62.744000000000014</v>
      </c>
      <c r="I33" s="23">
        <f>'Сводная '!O21</f>
        <v>46.596000000000004</v>
      </c>
    </row>
    <row r="34" spans="1:9" ht="15" thickBot="1" x14ac:dyDescent="0.35">
      <c r="A34" s="132"/>
      <c r="B34" s="2" t="s">
        <v>21</v>
      </c>
      <c r="C34" s="2">
        <f>Грунт!E27</f>
        <v>5.9</v>
      </c>
      <c r="D34" s="43">
        <v>1</v>
      </c>
      <c r="E34" s="23">
        <f>'Сводная '!K22</f>
        <v>0.54000000000000015</v>
      </c>
      <c r="F34" s="23">
        <f>'Сводная '!L22</f>
        <v>0.154</v>
      </c>
      <c r="G34" s="23">
        <v>0.54</v>
      </c>
      <c r="H34" s="24">
        <v>14.632000000000003</v>
      </c>
      <c r="I34" s="23">
        <f>'Сводная '!O22</f>
        <v>11.402000000000001</v>
      </c>
    </row>
    <row r="35" spans="1:9" ht="15" thickBot="1" x14ac:dyDescent="0.35">
      <c r="A35" s="33"/>
      <c r="B35" s="33"/>
      <c r="C35" s="33"/>
      <c r="D35" s="35">
        <f>SUM(D32:D34)</f>
        <v>23</v>
      </c>
      <c r="E35" s="26">
        <f>SUM(E32:E34)</f>
        <v>12.420000000000003</v>
      </c>
      <c r="F35" s="26">
        <f>SUM(F32:F34)</f>
        <v>3.5419999999999998</v>
      </c>
      <c r="G35" s="26">
        <f t="shared" ref="G35:I35" si="3">SUM(G32:G34)</f>
        <v>12.420000000000002</v>
      </c>
      <c r="H35" s="26">
        <f t="shared" si="3"/>
        <v>229.89600000000007</v>
      </c>
      <c r="I35" s="26">
        <f t="shared" si="3"/>
        <v>169.36599999999999</v>
      </c>
    </row>
    <row r="36" spans="1:9" ht="15" thickBot="1" x14ac:dyDescent="0.35">
      <c r="A36" s="33"/>
      <c r="B36" s="33"/>
      <c r="C36" s="33"/>
      <c r="D36" s="32"/>
      <c r="E36" s="32"/>
      <c r="F36" s="32"/>
      <c r="G36" s="32"/>
      <c r="H36" s="32"/>
      <c r="I36" s="32"/>
    </row>
    <row r="37" spans="1:9" ht="15" thickBot="1" x14ac:dyDescent="0.35">
      <c r="A37" s="33"/>
      <c r="B37" s="33"/>
      <c r="C37" s="33"/>
      <c r="D37" s="36">
        <f>D35+D26+D16+D7</f>
        <v>141</v>
      </c>
      <c r="E37" s="36">
        <f>E35+E26+E16+E7</f>
        <v>76.140000000000015</v>
      </c>
      <c r="F37" s="36">
        <f>F35+F26+F16+F7</f>
        <v>21.713999999999999</v>
      </c>
      <c r="G37" s="36">
        <f t="shared" ref="G37:I37" si="4">G35+G26+G16+G7</f>
        <v>73.41</v>
      </c>
      <c r="H37" s="36">
        <f t="shared" si="4"/>
        <v>1247.5520000000001</v>
      </c>
      <c r="I37" s="36">
        <f t="shared" si="4"/>
        <v>928.1819999999999</v>
      </c>
    </row>
  </sheetData>
  <mergeCells count="12">
    <mergeCell ref="A32:A34"/>
    <mergeCell ref="H2:I2"/>
    <mergeCell ref="H19:I19"/>
    <mergeCell ref="A28:I28"/>
    <mergeCell ref="H29:I29"/>
    <mergeCell ref="A22:A25"/>
    <mergeCell ref="A1:I1"/>
    <mergeCell ref="A9:I9"/>
    <mergeCell ref="H10:I10"/>
    <mergeCell ref="A18:I18"/>
    <mergeCell ref="A5:A6"/>
    <mergeCell ref="A13:A15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topLeftCell="A16" zoomScaleNormal="100" workbookViewId="0">
      <selection activeCell="E25" sqref="E25:E27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6" width="10.44140625" customWidth="1"/>
    <col min="7" max="7" width="22.6640625" customWidth="1"/>
    <col min="8" max="8" width="17.44140625" customWidth="1"/>
  </cols>
  <sheetData>
    <row r="1" spans="1:8" x14ac:dyDescent="0.3">
      <c r="A1" s="124" t="s">
        <v>61</v>
      </c>
      <c r="B1" s="124"/>
      <c r="C1" s="124"/>
      <c r="D1" s="124"/>
      <c r="E1" s="124"/>
      <c r="F1" s="124"/>
      <c r="G1" s="124"/>
      <c r="H1" s="124"/>
    </row>
    <row r="2" spans="1:8" ht="26.4" x14ac:dyDescent="0.3">
      <c r="A2" s="6"/>
      <c r="B2" s="5"/>
      <c r="C2" s="6"/>
      <c r="D2" s="6"/>
      <c r="E2" s="6" t="s">
        <v>58</v>
      </c>
      <c r="F2" s="6" t="s">
        <v>38</v>
      </c>
      <c r="G2" s="6" t="s">
        <v>31</v>
      </c>
      <c r="H2" s="6" t="s">
        <v>2</v>
      </c>
    </row>
    <row r="3" spans="1:8" ht="26.4" x14ac:dyDescent="0.3">
      <c r="A3" s="6" t="s">
        <v>32</v>
      </c>
      <c r="B3" s="5" t="s">
        <v>0</v>
      </c>
      <c r="C3" s="6" t="s">
        <v>1</v>
      </c>
      <c r="D3" s="6" t="s">
        <v>54</v>
      </c>
      <c r="E3" s="6" t="s">
        <v>59</v>
      </c>
      <c r="F3" s="6" t="s">
        <v>35</v>
      </c>
      <c r="G3" s="6" t="s">
        <v>60</v>
      </c>
      <c r="H3" s="6"/>
    </row>
    <row r="4" spans="1:8" x14ac:dyDescent="0.3">
      <c r="A4" s="111">
        <v>1</v>
      </c>
      <c r="B4" s="120" t="s">
        <v>33</v>
      </c>
      <c r="C4" s="2" t="s">
        <v>3</v>
      </c>
      <c r="D4" s="2" t="s">
        <v>5</v>
      </c>
      <c r="E4" s="2">
        <f>Грунт!E4</f>
        <v>90.5</v>
      </c>
      <c r="F4" s="6">
        <v>23</v>
      </c>
      <c r="G4" s="10">
        <f>(1.5*E4-0.9*1.2*F4)*0.1</f>
        <v>11.091000000000001</v>
      </c>
      <c r="H4" s="119">
        <f>SUM(G4:G5)</f>
        <v>16.011000000000003</v>
      </c>
    </row>
    <row r="5" spans="1:8" x14ac:dyDescent="0.3">
      <c r="A5" s="111"/>
      <c r="B5" s="120"/>
      <c r="C5" s="2" t="s">
        <v>3</v>
      </c>
      <c r="D5" s="2" t="s">
        <v>13</v>
      </c>
      <c r="E5" s="2">
        <f>Грунт!E5</f>
        <v>40</v>
      </c>
      <c r="F5" s="6">
        <v>10</v>
      </c>
      <c r="G5" s="10">
        <f>(1.5*E5-0.9*1.2*F5)*0.1</f>
        <v>4.9200000000000008</v>
      </c>
      <c r="H5" s="119"/>
    </row>
    <row r="6" spans="1:8" x14ac:dyDescent="0.3">
      <c r="A6" s="9"/>
      <c r="B6" s="9"/>
      <c r="C6" s="9"/>
      <c r="D6" s="9"/>
      <c r="E6" s="19"/>
      <c r="F6" s="11"/>
      <c r="G6" s="9"/>
      <c r="H6" s="9"/>
    </row>
    <row r="7" spans="1:8" x14ac:dyDescent="0.3">
      <c r="A7" s="124" t="s">
        <v>61</v>
      </c>
      <c r="B7" s="124"/>
      <c r="C7" s="124"/>
      <c r="D7" s="124"/>
      <c r="E7" s="124"/>
      <c r="F7" s="124"/>
      <c r="G7" s="124"/>
      <c r="H7" s="124"/>
    </row>
    <row r="8" spans="1:8" ht="26.4" x14ac:dyDescent="0.3">
      <c r="A8" s="52"/>
      <c r="B8" s="5"/>
      <c r="C8" s="52"/>
      <c r="D8" s="52"/>
      <c r="E8" s="52" t="s">
        <v>58</v>
      </c>
      <c r="F8" s="52" t="s">
        <v>38</v>
      </c>
      <c r="G8" s="52" t="s">
        <v>31</v>
      </c>
      <c r="H8" s="52" t="s">
        <v>2</v>
      </c>
    </row>
    <row r="9" spans="1:8" ht="26.4" x14ac:dyDescent="0.3">
      <c r="A9" s="52" t="s">
        <v>32</v>
      </c>
      <c r="B9" s="5" t="s">
        <v>0</v>
      </c>
      <c r="C9" s="52" t="s">
        <v>1</v>
      </c>
      <c r="D9" s="52" t="s">
        <v>54</v>
      </c>
      <c r="E9" s="52" t="s">
        <v>59</v>
      </c>
      <c r="F9" s="52" t="s">
        <v>35</v>
      </c>
      <c r="G9" s="52" t="s">
        <v>60</v>
      </c>
      <c r="H9" s="52"/>
    </row>
    <row r="10" spans="1:8" x14ac:dyDescent="0.3">
      <c r="A10" s="111">
        <v>2</v>
      </c>
      <c r="B10" s="120" t="s">
        <v>33</v>
      </c>
      <c r="C10" s="2" t="s">
        <v>3</v>
      </c>
      <c r="D10" s="2" t="s">
        <v>5</v>
      </c>
      <c r="E10" s="2">
        <f>Грунт!E10</f>
        <v>61.5</v>
      </c>
      <c r="F10" s="6">
        <v>15</v>
      </c>
      <c r="G10" s="10">
        <f>(1.5*E10-0.9*1.2*F10)*0.1</f>
        <v>7.6050000000000004</v>
      </c>
      <c r="H10" s="119">
        <f>SUM(G10:G12)</f>
        <v>20.709</v>
      </c>
    </row>
    <row r="11" spans="1:8" x14ac:dyDescent="0.3">
      <c r="A11" s="111"/>
      <c r="B11" s="120"/>
      <c r="C11" s="2" t="s">
        <v>3</v>
      </c>
      <c r="D11" s="2" t="s">
        <v>13</v>
      </c>
      <c r="E11" s="2">
        <f>Грунт!E11</f>
        <v>21.6</v>
      </c>
      <c r="F11" s="6">
        <v>7</v>
      </c>
      <c r="G11" s="10">
        <f t="shared" ref="G11:G12" si="0">(1.5*E11-0.9*1.2*F11)*0.1</f>
        <v>2.4840000000000004</v>
      </c>
      <c r="H11" s="119"/>
    </row>
    <row r="12" spans="1:8" x14ac:dyDescent="0.3">
      <c r="A12" s="111"/>
      <c r="B12" s="120"/>
      <c r="C12" s="2" t="s">
        <v>3</v>
      </c>
      <c r="D12" s="2" t="s">
        <v>21</v>
      </c>
      <c r="E12" s="2">
        <f>Грунт!E12</f>
        <v>88.8</v>
      </c>
      <c r="F12" s="6">
        <f>Щебень!E12</f>
        <v>25</v>
      </c>
      <c r="G12" s="10">
        <f t="shared" si="0"/>
        <v>10.62</v>
      </c>
      <c r="H12" s="119"/>
    </row>
    <row r="13" spans="1:8" x14ac:dyDescent="0.3">
      <c r="A13" s="9"/>
      <c r="B13" s="9"/>
      <c r="C13" s="9"/>
      <c r="D13" s="9"/>
      <c r="E13" s="2"/>
      <c r="F13" s="11"/>
      <c r="G13" s="9"/>
      <c r="H13" s="9"/>
    </row>
    <row r="14" spans="1:8" x14ac:dyDescent="0.3">
      <c r="A14" s="124" t="s">
        <v>61</v>
      </c>
      <c r="B14" s="124"/>
      <c r="C14" s="124"/>
      <c r="D14" s="124"/>
      <c r="E14" s="124"/>
      <c r="F14" s="124"/>
      <c r="G14" s="124"/>
      <c r="H14" s="124"/>
    </row>
    <row r="15" spans="1:8" ht="26.4" x14ac:dyDescent="0.3">
      <c r="A15" s="52"/>
      <c r="B15" s="5"/>
      <c r="C15" s="52"/>
      <c r="D15" s="52"/>
      <c r="E15" s="52" t="s">
        <v>58</v>
      </c>
      <c r="F15" s="52" t="s">
        <v>38</v>
      </c>
      <c r="G15" s="52" t="s">
        <v>31</v>
      </c>
      <c r="H15" s="52" t="s">
        <v>2</v>
      </c>
    </row>
    <row r="16" spans="1:8" ht="26.4" x14ac:dyDescent="0.3">
      <c r="A16" s="52" t="s">
        <v>32</v>
      </c>
      <c r="B16" s="5" t="s">
        <v>0</v>
      </c>
      <c r="C16" s="52" t="s">
        <v>1</v>
      </c>
      <c r="D16" s="52" t="s">
        <v>54</v>
      </c>
      <c r="E16" s="52" t="s">
        <v>59</v>
      </c>
      <c r="F16" s="52" t="s">
        <v>35</v>
      </c>
      <c r="G16" s="52" t="s">
        <v>60</v>
      </c>
      <c r="H16" s="52"/>
    </row>
    <row r="17" spans="1:8" x14ac:dyDescent="0.3">
      <c r="A17" s="111">
        <v>3</v>
      </c>
      <c r="B17" s="120" t="s">
        <v>33</v>
      </c>
      <c r="C17" s="2" t="s">
        <v>3</v>
      </c>
      <c r="D17" s="2" t="s">
        <v>5</v>
      </c>
      <c r="E17" s="2">
        <f>Грунт!E17</f>
        <v>53.9</v>
      </c>
      <c r="F17" s="6">
        <v>13</v>
      </c>
      <c r="G17" s="10">
        <f>(1.5*E17-0.9*1.2*F17)*0.1</f>
        <v>6.6809999999999992</v>
      </c>
      <c r="H17" s="119">
        <f>SUM(G17:G20)</f>
        <v>19.161000000000001</v>
      </c>
    </row>
    <row r="18" spans="1:8" x14ac:dyDescent="0.3">
      <c r="A18" s="111"/>
      <c r="B18" s="120"/>
      <c r="C18" s="2" t="s">
        <v>3</v>
      </c>
      <c r="D18" s="2" t="s">
        <v>13</v>
      </c>
      <c r="E18" s="2">
        <f>Грунт!E18</f>
        <v>38.200000000000003</v>
      </c>
      <c r="F18" s="6">
        <v>10</v>
      </c>
      <c r="G18" s="10">
        <f t="shared" ref="G18:G27" si="1">(1.5*E18-0.9*1.2*F18)*0.1</f>
        <v>4.6500000000000004</v>
      </c>
      <c r="H18" s="119"/>
    </row>
    <row r="19" spans="1:8" x14ac:dyDescent="0.3">
      <c r="A19" s="111"/>
      <c r="B19" s="120"/>
      <c r="C19" s="2" t="s">
        <v>3</v>
      </c>
      <c r="D19" s="2" t="s">
        <v>21</v>
      </c>
      <c r="E19" s="2">
        <f>Грунт!E19</f>
        <v>44.300000000000004</v>
      </c>
      <c r="F19" s="6">
        <v>10</v>
      </c>
      <c r="G19" s="10">
        <f t="shared" si="1"/>
        <v>5.5650000000000013</v>
      </c>
      <c r="H19" s="119"/>
    </row>
    <row r="20" spans="1:8" x14ac:dyDescent="0.3">
      <c r="A20" s="111"/>
      <c r="B20" s="120"/>
      <c r="C20" s="2" t="s">
        <v>3</v>
      </c>
      <c r="D20" s="2" t="s">
        <v>22</v>
      </c>
      <c r="E20" s="2">
        <f>Грунт!E20</f>
        <v>18.7</v>
      </c>
      <c r="F20" s="6">
        <v>5</v>
      </c>
      <c r="G20" s="10">
        <f t="shared" si="1"/>
        <v>2.2650000000000001</v>
      </c>
      <c r="H20" s="119"/>
    </row>
    <row r="21" spans="1:8" x14ac:dyDescent="0.3">
      <c r="A21" s="9"/>
      <c r="B21" s="9"/>
      <c r="C21" s="9"/>
      <c r="D21" s="9"/>
      <c r="E21" s="2"/>
      <c r="F21" s="11"/>
      <c r="G21" s="9"/>
      <c r="H21" s="9"/>
    </row>
    <row r="22" spans="1:8" x14ac:dyDescent="0.3">
      <c r="A22" s="124" t="s">
        <v>61</v>
      </c>
      <c r="B22" s="124"/>
      <c r="C22" s="124"/>
      <c r="D22" s="124"/>
      <c r="E22" s="124"/>
      <c r="F22" s="124"/>
      <c r="G22" s="124"/>
      <c r="H22" s="124"/>
    </row>
    <row r="23" spans="1:8" ht="26.4" x14ac:dyDescent="0.3">
      <c r="A23" s="52"/>
      <c r="B23" s="5"/>
      <c r="C23" s="52"/>
      <c r="D23" s="52"/>
      <c r="E23" s="52" t="s">
        <v>58</v>
      </c>
      <c r="F23" s="52" t="s">
        <v>38</v>
      </c>
      <c r="G23" s="52" t="s">
        <v>31</v>
      </c>
      <c r="H23" s="52" t="s">
        <v>2</v>
      </c>
    </row>
    <row r="24" spans="1:8" ht="26.4" x14ac:dyDescent="0.3">
      <c r="A24" s="52" t="s">
        <v>32</v>
      </c>
      <c r="B24" s="5" t="s">
        <v>0</v>
      </c>
      <c r="C24" s="52" t="s">
        <v>1</v>
      </c>
      <c r="D24" s="52" t="s">
        <v>54</v>
      </c>
      <c r="E24" s="52" t="s">
        <v>59</v>
      </c>
      <c r="F24" s="52" t="s">
        <v>35</v>
      </c>
      <c r="G24" s="52" t="s">
        <v>60</v>
      </c>
      <c r="H24" s="52"/>
    </row>
    <row r="25" spans="1:8" x14ac:dyDescent="0.3">
      <c r="A25" s="111">
        <v>4</v>
      </c>
      <c r="B25" s="120" t="s">
        <v>33</v>
      </c>
      <c r="C25" s="2" t="s">
        <v>3</v>
      </c>
      <c r="D25" s="2" t="s">
        <v>5</v>
      </c>
      <c r="E25" s="2">
        <f>Грунт!E25</f>
        <v>61.5</v>
      </c>
      <c r="F25" s="6">
        <v>16</v>
      </c>
      <c r="G25" s="10">
        <f t="shared" si="1"/>
        <v>7.4969999999999999</v>
      </c>
      <c r="H25" s="119">
        <f>SUM(G25:G27)</f>
        <v>11.420999999999999</v>
      </c>
    </row>
    <row r="26" spans="1:8" x14ac:dyDescent="0.3">
      <c r="A26" s="111"/>
      <c r="B26" s="120"/>
      <c r="C26" s="2" t="s">
        <v>3</v>
      </c>
      <c r="D26" s="2" t="s">
        <v>13</v>
      </c>
      <c r="E26" s="2">
        <f>Грунт!E26</f>
        <v>25.3</v>
      </c>
      <c r="F26" s="6">
        <v>6</v>
      </c>
      <c r="G26" s="10">
        <f t="shared" si="1"/>
        <v>3.1470000000000002</v>
      </c>
      <c r="H26" s="119"/>
    </row>
    <row r="27" spans="1:8" x14ac:dyDescent="0.3">
      <c r="A27" s="111"/>
      <c r="B27" s="120"/>
      <c r="C27" s="2" t="s">
        <v>3</v>
      </c>
      <c r="D27" s="2" t="s">
        <v>21</v>
      </c>
      <c r="E27" s="2">
        <f>Грунт!E27</f>
        <v>5.9</v>
      </c>
      <c r="F27" s="6">
        <v>1</v>
      </c>
      <c r="G27" s="10">
        <f t="shared" si="1"/>
        <v>0.77700000000000014</v>
      </c>
      <c r="H27" s="119"/>
    </row>
    <row r="28" spans="1:8" ht="15" thickBot="1" x14ac:dyDescent="0.35">
      <c r="E28" s="46"/>
    </row>
    <row r="29" spans="1:8" ht="15" thickBot="1" x14ac:dyDescent="0.35">
      <c r="E29" s="8">
        <f>SUM(E4:E27)</f>
        <v>550.19999999999993</v>
      </c>
      <c r="F29" s="12">
        <f>SUM(F4:F27)</f>
        <v>141</v>
      </c>
      <c r="H29" s="8">
        <f>SUM(H4:H27)</f>
        <v>67.301999999999992</v>
      </c>
    </row>
    <row r="30" spans="1:8" x14ac:dyDescent="0.3">
      <c r="E30" s="46"/>
      <c r="F30" s="46"/>
    </row>
  </sheetData>
  <mergeCells count="16">
    <mergeCell ref="A25:A27"/>
    <mergeCell ref="B25:B27"/>
    <mergeCell ref="H25:H27"/>
    <mergeCell ref="A14:H14"/>
    <mergeCell ref="A22:H22"/>
    <mergeCell ref="A17:A20"/>
    <mergeCell ref="B17:B20"/>
    <mergeCell ref="H17:H20"/>
    <mergeCell ref="A1:H1"/>
    <mergeCell ref="A4:A5"/>
    <mergeCell ref="B4:B5"/>
    <mergeCell ref="H4:H5"/>
    <mergeCell ref="A10:A12"/>
    <mergeCell ref="B10:B12"/>
    <mergeCell ref="H10:H12"/>
    <mergeCell ref="A7:H7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10" zoomScaleNormal="100" workbookViewId="0">
      <selection activeCell="A22" sqref="A22:G22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5" width="10.44140625" customWidth="1"/>
    <col min="6" max="6" width="22.6640625" customWidth="1"/>
    <col min="7" max="7" width="17.44140625" customWidth="1"/>
  </cols>
  <sheetData>
    <row r="1" spans="1:7" x14ac:dyDescent="0.3">
      <c r="A1" s="124" t="s">
        <v>111</v>
      </c>
      <c r="B1" s="124"/>
      <c r="C1" s="124"/>
      <c r="D1" s="124"/>
      <c r="E1" s="124"/>
      <c r="F1" s="124"/>
      <c r="G1" s="124"/>
    </row>
    <row r="2" spans="1:7" ht="26.4" x14ac:dyDescent="0.3">
      <c r="A2" s="6"/>
      <c r="B2" s="5"/>
      <c r="C2" s="6"/>
      <c r="D2" s="6"/>
      <c r="E2" s="6" t="s">
        <v>58</v>
      </c>
      <c r="F2" s="6" t="s">
        <v>31</v>
      </c>
      <c r="G2" s="6" t="s">
        <v>2</v>
      </c>
    </row>
    <row r="3" spans="1:7" ht="26.4" x14ac:dyDescent="0.3">
      <c r="A3" s="6" t="s">
        <v>32</v>
      </c>
      <c r="B3" s="5" t="s">
        <v>0</v>
      </c>
      <c r="C3" s="6" t="s">
        <v>1</v>
      </c>
      <c r="D3" s="6" t="s">
        <v>54</v>
      </c>
      <c r="E3" s="6" t="s">
        <v>59</v>
      </c>
      <c r="F3" s="6" t="s">
        <v>62</v>
      </c>
      <c r="G3" s="6"/>
    </row>
    <row r="4" spans="1:7" x14ac:dyDescent="0.3">
      <c r="A4" s="111">
        <v>1</v>
      </c>
      <c r="B4" s="120" t="s">
        <v>63</v>
      </c>
      <c r="C4" s="2" t="s">
        <v>3</v>
      </c>
      <c r="D4" s="2" t="s">
        <v>5</v>
      </c>
      <c r="E4" s="2">
        <f>Грунт!E4</f>
        <v>90.5</v>
      </c>
      <c r="F4" s="10">
        <f>0.9*0.3*E4</f>
        <v>24.435000000000002</v>
      </c>
      <c r="G4" s="119">
        <f>SUM(F4:F5)</f>
        <v>35.234999999999999</v>
      </c>
    </row>
    <row r="5" spans="1:7" x14ac:dyDescent="0.3">
      <c r="A5" s="111"/>
      <c r="B5" s="120"/>
      <c r="C5" s="2" t="s">
        <v>3</v>
      </c>
      <c r="D5" s="2" t="s">
        <v>13</v>
      </c>
      <c r="E5" s="2">
        <f>Грунт!E5</f>
        <v>40</v>
      </c>
      <c r="F5" s="10">
        <f>0.9*0.3*E5</f>
        <v>10.8</v>
      </c>
      <c r="G5" s="119"/>
    </row>
    <row r="6" spans="1:7" x14ac:dyDescent="0.3">
      <c r="A6" s="9"/>
      <c r="B6" s="9"/>
      <c r="C6" s="9"/>
      <c r="D6" s="9"/>
      <c r="E6" s="19"/>
      <c r="F6" s="9"/>
      <c r="G6" s="9"/>
    </row>
    <row r="7" spans="1:7" x14ac:dyDescent="0.3">
      <c r="A7" s="124" t="s">
        <v>111</v>
      </c>
      <c r="B7" s="124"/>
      <c r="C7" s="124"/>
      <c r="D7" s="124"/>
      <c r="E7" s="124"/>
      <c r="F7" s="124"/>
      <c r="G7" s="124"/>
    </row>
    <row r="8" spans="1:7" ht="26.4" x14ac:dyDescent="0.3">
      <c r="A8" s="52"/>
      <c r="B8" s="5"/>
      <c r="C8" s="52"/>
      <c r="D8" s="52"/>
      <c r="E8" s="52" t="s">
        <v>58</v>
      </c>
      <c r="F8" s="52" t="s">
        <v>31</v>
      </c>
      <c r="G8" s="52" t="s">
        <v>2</v>
      </c>
    </row>
    <row r="9" spans="1:7" ht="26.4" x14ac:dyDescent="0.3">
      <c r="A9" s="52" t="s">
        <v>32</v>
      </c>
      <c r="B9" s="5" t="s">
        <v>0</v>
      </c>
      <c r="C9" s="52" t="s">
        <v>1</v>
      </c>
      <c r="D9" s="52" t="s">
        <v>54</v>
      </c>
      <c r="E9" s="52" t="s">
        <v>59</v>
      </c>
      <c r="F9" s="52" t="s">
        <v>62</v>
      </c>
      <c r="G9" s="52"/>
    </row>
    <row r="10" spans="1:7" x14ac:dyDescent="0.3">
      <c r="A10" s="111">
        <v>2</v>
      </c>
      <c r="B10" s="120" t="s">
        <v>63</v>
      </c>
      <c r="C10" s="2" t="s">
        <v>3</v>
      </c>
      <c r="D10" s="2" t="s">
        <v>5</v>
      </c>
      <c r="E10" s="2">
        <f>Грунт!E10</f>
        <v>61.5</v>
      </c>
      <c r="F10" s="10">
        <f>0.9*0.3*E10</f>
        <v>16.605</v>
      </c>
      <c r="G10" s="119">
        <f>SUM(F10:F12)</f>
        <v>46.412999999999997</v>
      </c>
    </row>
    <row r="11" spans="1:7" x14ac:dyDescent="0.3">
      <c r="A11" s="111"/>
      <c r="B11" s="120"/>
      <c r="C11" s="2" t="s">
        <v>3</v>
      </c>
      <c r="D11" s="2" t="s">
        <v>13</v>
      </c>
      <c r="E11" s="2">
        <f>Грунт!E11</f>
        <v>21.6</v>
      </c>
      <c r="F11" s="10">
        <f t="shared" ref="F11:F27" si="0">0.9*0.3*E11</f>
        <v>5.8320000000000007</v>
      </c>
      <c r="G11" s="119"/>
    </row>
    <row r="12" spans="1:7" x14ac:dyDescent="0.3">
      <c r="A12" s="111"/>
      <c r="B12" s="120"/>
      <c r="C12" s="2" t="s">
        <v>3</v>
      </c>
      <c r="D12" s="2" t="s">
        <v>21</v>
      </c>
      <c r="E12" s="2">
        <f>Грунт!E12</f>
        <v>88.8</v>
      </c>
      <c r="F12" s="10">
        <f t="shared" si="0"/>
        <v>23.975999999999999</v>
      </c>
      <c r="G12" s="119"/>
    </row>
    <row r="13" spans="1:7" x14ac:dyDescent="0.3">
      <c r="A13" s="9"/>
      <c r="B13" s="9"/>
      <c r="C13" s="9"/>
      <c r="D13" s="9"/>
      <c r="E13" s="2"/>
      <c r="F13" s="9"/>
      <c r="G13" s="9"/>
    </row>
    <row r="14" spans="1:7" x14ac:dyDescent="0.3">
      <c r="A14" s="124" t="s">
        <v>111</v>
      </c>
      <c r="B14" s="124"/>
      <c r="C14" s="124"/>
      <c r="D14" s="124"/>
      <c r="E14" s="124"/>
      <c r="F14" s="124"/>
      <c r="G14" s="124"/>
    </row>
    <row r="15" spans="1:7" ht="26.4" x14ac:dyDescent="0.3">
      <c r="A15" s="52"/>
      <c r="B15" s="5"/>
      <c r="C15" s="52"/>
      <c r="D15" s="52"/>
      <c r="E15" s="52" t="s">
        <v>58</v>
      </c>
      <c r="F15" s="52" t="s">
        <v>31</v>
      </c>
      <c r="G15" s="52" t="s">
        <v>2</v>
      </c>
    </row>
    <row r="16" spans="1:7" ht="26.4" x14ac:dyDescent="0.3">
      <c r="A16" s="52" t="s">
        <v>32</v>
      </c>
      <c r="B16" s="5" t="s">
        <v>0</v>
      </c>
      <c r="C16" s="52" t="s">
        <v>1</v>
      </c>
      <c r="D16" s="52" t="s">
        <v>54</v>
      </c>
      <c r="E16" s="52" t="s">
        <v>59</v>
      </c>
      <c r="F16" s="52" t="s">
        <v>62</v>
      </c>
      <c r="G16" s="52"/>
    </row>
    <row r="17" spans="1:7" x14ac:dyDescent="0.3">
      <c r="A17" s="111">
        <v>3</v>
      </c>
      <c r="B17" s="120" t="s">
        <v>63</v>
      </c>
      <c r="C17" s="2" t="s">
        <v>3</v>
      </c>
      <c r="D17" s="47" t="s">
        <v>5</v>
      </c>
      <c r="E17" s="2">
        <f>Грунт!E17</f>
        <v>53.9</v>
      </c>
      <c r="F17" s="10">
        <f t="shared" si="0"/>
        <v>14.553000000000001</v>
      </c>
      <c r="G17" s="119">
        <f>SUM(F17:F20)</f>
        <v>41.877000000000002</v>
      </c>
    </row>
    <row r="18" spans="1:7" x14ac:dyDescent="0.3">
      <c r="A18" s="111"/>
      <c r="B18" s="120"/>
      <c r="C18" s="2" t="s">
        <v>3</v>
      </c>
      <c r="D18" s="2" t="s">
        <v>13</v>
      </c>
      <c r="E18" s="2">
        <f>Грунт!E18</f>
        <v>38.200000000000003</v>
      </c>
      <c r="F18" s="10">
        <f t="shared" si="0"/>
        <v>10.314000000000002</v>
      </c>
      <c r="G18" s="119"/>
    </row>
    <row r="19" spans="1:7" x14ac:dyDescent="0.3">
      <c r="A19" s="111"/>
      <c r="B19" s="120"/>
      <c r="C19" s="2" t="s">
        <v>3</v>
      </c>
      <c r="D19" s="2" t="s">
        <v>21</v>
      </c>
      <c r="E19" s="2">
        <f>Грунт!E19</f>
        <v>44.300000000000004</v>
      </c>
      <c r="F19" s="10">
        <f t="shared" si="0"/>
        <v>11.961000000000002</v>
      </c>
      <c r="G19" s="119"/>
    </row>
    <row r="20" spans="1:7" x14ac:dyDescent="0.3">
      <c r="A20" s="111"/>
      <c r="B20" s="120"/>
      <c r="C20" s="2" t="s">
        <v>3</v>
      </c>
      <c r="D20" s="2" t="s">
        <v>22</v>
      </c>
      <c r="E20" s="2">
        <f>Грунт!E20</f>
        <v>18.7</v>
      </c>
      <c r="F20" s="10">
        <f t="shared" si="0"/>
        <v>5.0490000000000004</v>
      </c>
      <c r="G20" s="119"/>
    </row>
    <row r="21" spans="1:7" x14ac:dyDescent="0.3">
      <c r="A21" s="9"/>
      <c r="B21" s="9"/>
      <c r="C21" s="9"/>
      <c r="D21" s="9"/>
      <c r="E21" s="2"/>
      <c r="F21" s="9"/>
      <c r="G21" s="9"/>
    </row>
    <row r="22" spans="1:7" x14ac:dyDescent="0.3">
      <c r="A22" s="124" t="s">
        <v>111</v>
      </c>
      <c r="B22" s="124"/>
      <c r="C22" s="124"/>
      <c r="D22" s="124"/>
      <c r="E22" s="124"/>
      <c r="F22" s="124"/>
      <c r="G22" s="124"/>
    </row>
    <row r="23" spans="1:7" ht="26.4" x14ac:dyDescent="0.3">
      <c r="A23" s="52"/>
      <c r="B23" s="5"/>
      <c r="C23" s="52"/>
      <c r="D23" s="52"/>
      <c r="E23" s="52" t="s">
        <v>58</v>
      </c>
      <c r="F23" s="52" t="s">
        <v>31</v>
      </c>
      <c r="G23" s="52" t="s">
        <v>2</v>
      </c>
    </row>
    <row r="24" spans="1:7" ht="26.4" x14ac:dyDescent="0.3">
      <c r="A24" s="52" t="s">
        <v>32</v>
      </c>
      <c r="B24" s="5" t="s">
        <v>0</v>
      </c>
      <c r="C24" s="52" t="s">
        <v>1</v>
      </c>
      <c r="D24" s="52" t="s">
        <v>54</v>
      </c>
      <c r="E24" s="52" t="s">
        <v>59</v>
      </c>
      <c r="F24" s="52" t="s">
        <v>62</v>
      </c>
      <c r="G24" s="52"/>
    </row>
    <row r="25" spans="1:7" x14ac:dyDescent="0.3">
      <c r="A25" s="111">
        <v>4</v>
      </c>
      <c r="B25" s="120" t="s">
        <v>63</v>
      </c>
      <c r="C25" s="2" t="s">
        <v>3</v>
      </c>
      <c r="D25" s="2" t="s">
        <v>5</v>
      </c>
      <c r="E25" s="2">
        <f>Грунт!E25</f>
        <v>61.5</v>
      </c>
      <c r="F25" s="10">
        <f t="shared" si="0"/>
        <v>16.605</v>
      </c>
      <c r="G25" s="119">
        <f>SUM(F25:F27)</f>
        <v>25.029</v>
      </c>
    </row>
    <row r="26" spans="1:7" x14ac:dyDescent="0.3">
      <c r="A26" s="111"/>
      <c r="B26" s="120"/>
      <c r="C26" s="2" t="s">
        <v>3</v>
      </c>
      <c r="D26" s="2" t="s">
        <v>13</v>
      </c>
      <c r="E26" s="2">
        <f>Грунт!E26</f>
        <v>25.3</v>
      </c>
      <c r="F26" s="10">
        <f t="shared" si="0"/>
        <v>6.8310000000000004</v>
      </c>
      <c r="G26" s="119"/>
    </row>
    <row r="27" spans="1:7" x14ac:dyDescent="0.3">
      <c r="A27" s="111"/>
      <c r="B27" s="120"/>
      <c r="C27" s="2" t="s">
        <v>3</v>
      </c>
      <c r="D27" s="2" t="s">
        <v>21</v>
      </c>
      <c r="E27" s="2">
        <f>Грунт!E27</f>
        <v>5.9</v>
      </c>
      <c r="F27" s="10">
        <f t="shared" si="0"/>
        <v>1.5930000000000002</v>
      </c>
      <c r="G27" s="119"/>
    </row>
    <row r="28" spans="1:7" ht="15" thickBot="1" x14ac:dyDescent="0.35">
      <c r="E28" s="46"/>
    </row>
    <row r="29" spans="1:7" ht="15" thickBot="1" x14ac:dyDescent="0.35">
      <c r="E29" s="8">
        <f>SUM(E4:E27)</f>
        <v>550.19999999999993</v>
      </c>
      <c r="G29" s="8">
        <f>SUM(G4:G27)</f>
        <v>148.554</v>
      </c>
    </row>
    <row r="30" spans="1:7" x14ac:dyDescent="0.3">
      <c r="E30" s="46"/>
    </row>
  </sheetData>
  <mergeCells count="16">
    <mergeCell ref="A25:A27"/>
    <mergeCell ref="B25:B27"/>
    <mergeCell ref="G25:G27"/>
    <mergeCell ref="A14:G14"/>
    <mergeCell ref="A22:G22"/>
    <mergeCell ref="A17:A20"/>
    <mergeCell ref="B17:B20"/>
    <mergeCell ref="G17:G20"/>
    <mergeCell ref="A1:G1"/>
    <mergeCell ref="A4:A5"/>
    <mergeCell ref="B4:B5"/>
    <mergeCell ref="G4:G5"/>
    <mergeCell ref="A10:A12"/>
    <mergeCell ref="B10:B12"/>
    <mergeCell ref="G10:G12"/>
    <mergeCell ref="A7:G7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10" zoomScaleNormal="100" workbookViewId="0">
      <selection activeCell="F31" sqref="F31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5" width="10.44140625" customWidth="1"/>
    <col min="6" max="6" width="22.6640625" customWidth="1"/>
    <col min="7" max="7" width="17.44140625" customWidth="1"/>
  </cols>
  <sheetData>
    <row r="1" spans="1:7" x14ac:dyDescent="0.3">
      <c r="A1" s="124" t="s">
        <v>112</v>
      </c>
      <c r="B1" s="124"/>
      <c r="C1" s="124"/>
      <c r="D1" s="124"/>
      <c r="E1" s="124"/>
      <c r="F1" s="124"/>
      <c r="G1" s="124"/>
    </row>
    <row r="2" spans="1:7" ht="26.4" x14ac:dyDescent="0.3">
      <c r="A2" s="109"/>
      <c r="B2" s="5"/>
      <c r="C2" s="109"/>
      <c r="D2" s="109"/>
      <c r="E2" s="109" t="s">
        <v>58</v>
      </c>
      <c r="F2" s="109" t="s">
        <v>114</v>
      </c>
      <c r="G2" s="109" t="s">
        <v>2</v>
      </c>
    </row>
    <row r="3" spans="1:7" ht="26.4" x14ac:dyDescent="0.3">
      <c r="A3" s="109" t="s">
        <v>32</v>
      </c>
      <c r="B3" s="5" t="s">
        <v>0</v>
      </c>
      <c r="C3" s="109" t="s">
        <v>1</v>
      </c>
      <c r="D3" s="109" t="s">
        <v>54</v>
      </c>
      <c r="E3" s="109" t="s">
        <v>59</v>
      </c>
      <c r="F3" s="110" t="s">
        <v>115</v>
      </c>
      <c r="G3" s="109"/>
    </row>
    <row r="4" spans="1:7" x14ac:dyDescent="0.3">
      <c r="A4" s="111">
        <v>1</v>
      </c>
      <c r="B4" s="120" t="s">
        <v>112</v>
      </c>
      <c r="C4" s="2" t="s">
        <v>3</v>
      </c>
      <c r="D4" s="2" t="s">
        <v>5</v>
      </c>
      <c r="E4" s="2">
        <f>Грунт!E4</f>
        <v>90.5</v>
      </c>
      <c r="F4" s="10">
        <f>E4*2+0.7*12</f>
        <v>189.4</v>
      </c>
      <c r="G4" s="119">
        <f>SUM(F4:F5)</f>
        <v>277.8</v>
      </c>
    </row>
    <row r="5" spans="1:7" x14ac:dyDescent="0.3">
      <c r="A5" s="111"/>
      <c r="B5" s="120"/>
      <c r="C5" s="2" t="s">
        <v>3</v>
      </c>
      <c r="D5" s="2" t="s">
        <v>13</v>
      </c>
      <c r="E5" s="2">
        <f>Грунт!E5</f>
        <v>40</v>
      </c>
      <c r="F5" s="10">
        <f>E5*2+0.7*12</f>
        <v>88.4</v>
      </c>
      <c r="G5" s="119"/>
    </row>
    <row r="6" spans="1:7" x14ac:dyDescent="0.3">
      <c r="A6" s="9"/>
      <c r="B6" s="9"/>
      <c r="C6" s="9"/>
      <c r="D6" s="9"/>
      <c r="E6" s="19"/>
      <c r="F6" s="9"/>
      <c r="G6" s="9"/>
    </row>
    <row r="7" spans="1:7" x14ac:dyDescent="0.3">
      <c r="A7" s="124" t="s">
        <v>112</v>
      </c>
      <c r="B7" s="124"/>
      <c r="C7" s="124"/>
      <c r="D7" s="124"/>
      <c r="E7" s="124"/>
      <c r="F7" s="124"/>
      <c r="G7" s="124"/>
    </row>
    <row r="8" spans="1:7" ht="26.4" x14ac:dyDescent="0.3">
      <c r="A8" s="109"/>
      <c r="B8" s="5"/>
      <c r="C8" s="109"/>
      <c r="D8" s="109"/>
      <c r="E8" s="109" t="s">
        <v>58</v>
      </c>
      <c r="F8" s="109" t="s">
        <v>114</v>
      </c>
      <c r="G8" s="109" t="s">
        <v>2</v>
      </c>
    </row>
    <row r="9" spans="1:7" ht="26.4" x14ac:dyDescent="0.3">
      <c r="A9" s="109" t="s">
        <v>32</v>
      </c>
      <c r="B9" s="5" t="s">
        <v>0</v>
      </c>
      <c r="C9" s="109" t="s">
        <v>1</v>
      </c>
      <c r="D9" s="109" t="s">
        <v>54</v>
      </c>
      <c r="E9" s="109" t="s">
        <v>59</v>
      </c>
      <c r="F9" s="110" t="s">
        <v>116</v>
      </c>
      <c r="G9" s="109"/>
    </row>
    <row r="10" spans="1:7" x14ac:dyDescent="0.3">
      <c r="A10" s="111">
        <v>2</v>
      </c>
      <c r="B10" s="120" t="s">
        <v>112</v>
      </c>
      <c r="C10" s="2" t="s">
        <v>3</v>
      </c>
      <c r="D10" s="2" t="s">
        <v>5</v>
      </c>
      <c r="E10" s="2">
        <f>Грунт!E10</f>
        <v>61.5</v>
      </c>
      <c r="F10" s="10">
        <f>E10*2+0.9*24</f>
        <v>144.6</v>
      </c>
      <c r="G10" s="119">
        <f>SUM(F10:F12)</f>
        <v>408.6</v>
      </c>
    </row>
    <row r="11" spans="1:7" x14ac:dyDescent="0.3">
      <c r="A11" s="111"/>
      <c r="B11" s="120"/>
      <c r="C11" s="2" t="s">
        <v>3</v>
      </c>
      <c r="D11" s="2" t="s">
        <v>13</v>
      </c>
      <c r="E11" s="2">
        <f>Грунт!E11</f>
        <v>21.6</v>
      </c>
      <c r="F11" s="10">
        <f t="shared" ref="F11:F12" si="0">E11*2+0.9*24</f>
        <v>64.800000000000011</v>
      </c>
      <c r="G11" s="119"/>
    </row>
    <row r="12" spans="1:7" x14ac:dyDescent="0.3">
      <c r="A12" s="111"/>
      <c r="B12" s="120"/>
      <c r="C12" s="2" t="s">
        <v>3</v>
      </c>
      <c r="D12" s="2" t="s">
        <v>21</v>
      </c>
      <c r="E12" s="2">
        <f>Грунт!E12</f>
        <v>88.8</v>
      </c>
      <c r="F12" s="10">
        <f t="shared" si="0"/>
        <v>199.2</v>
      </c>
      <c r="G12" s="119"/>
    </row>
    <row r="13" spans="1:7" x14ac:dyDescent="0.3">
      <c r="A13" s="9"/>
      <c r="B13" s="9"/>
      <c r="C13" s="9"/>
      <c r="D13" s="9"/>
      <c r="E13" s="2"/>
      <c r="F13" s="9"/>
      <c r="G13" s="9"/>
    </row>
    <row r="14" spans="1:7" x14ac:dyDescent="0.3">
      <c r="A14" s="124" t="s">
        <v>112</v>
      </c>
      <c r="B14" s="124"/>
      <c r="C14" s="124"/>
      <c r="D14" s="124"/>
      <c r="E14" s="124"/>
      <c r="F14" s="124"/>
      <c r="G14" s="124"/>
    </row>
    <row r="15" spans="1:7" ht="26.4" x14ac:dyDescent="0.3">
      <c r="A15" s="109"/>
      <c r="B15" s="5"/>
      <c r="C15" s="109"/>
      <c r="D15" s="109"/>
      <c r="E15" s="109" t="s">
        <v>58</v>
      </c>
      <c r="F15" s="109" t="s">
        <v>114</v>
      </c>
      <c r="G15" s="109" t="s">
        <v>2</v>
      </c>
    </row>
    <row r="16" spans="1:7" ht="26.4" x14ac:dyDescent="0.3">
      <c r="A16" s="109" t="s">
        <v>32</v>
      </c>
      <c r="B16" s="5" t="s">
        <v>0</v>
      </c>
      <c r="C16" s="109" t="s">
        <v>1</v>
      </c>
      <c r="D16" s="109" t="s">
        <v>54</v>
      </c>
      <c r="E16" s="109" t="s">
        <v>59</v>
      </c>
      <c r="F16" s="110" t="s">
        <v>117</v>
      </c>
      <c r="G16" s="109"/>
    </row>
    <row r="17" spans="1:7" x14ac:dyDescent="0.3">
      <c r="A17" s="111">
        <v>3</v>
      </c>
      <c r="B17" s="120" t="s">
        <v>112</v>
      </c>
      <c r="C17" s="2" t="s">
        <v>3</v>
      </c>
      <c r="D17" s="47" t="s">
        <v>5</v>
      </c>
      <c r="E17" s="2">
        <f>Грунт!E17</f>
        <v>53.9</v>
      </c>
      <c r="F17" s="10">
        <f>E17*2+0.9*8</f>
        <v>115</v>
      </c>
      <c r="G17" s="119">
        <f>SUM(F17:F20)</f>
        <v>339.00000000000006</v>
      </c>
    </row>
    <row r="18" spans="1:7" x14ac:dyDescent="0.3">
      <c r="A18" s="111"/>
      <c r="B18" s="120"/>
      <c r="C18" s="2" t="s">
        <v>3</v>
      </c>
      <c r="D18" s="2" t="s">
        <v>13</v>
      </c>
      <c r="E18" s="2">
        <f>Грунт!E18</f>
        <v>38.200000000000003</v>
      </c>
      <c r="F18" s="10">
        <f t="shared" ref="F18:F20" si="1">E18*2+0.9*8</f>
        <v>83.600000000000009</v>
      </c>
      <c r="G18" s="119"/>
    </row>
    <row r="19" spans="1:7" x14ac:dyDescent="0.3">
      <c r="A19" s="111"/>
      <c r="B19" s="120"/>
      <c r="C19" s="2" t="s">
        <v>3</v>
      </c>
      <c r="D19" s="2" t="s">
        <v>21</v>
      </c>
      <c r="E19" s="2">
        <f>Грунт!E19</f>
        <v>44.300000000000004</v>
      </c>
      <c r="F19" s="10">
        <f t="shared" si="1"/>
        <v>95.800000000000011</v>
      </c>
      <c r="G19" s="119"/>
    </row>
    <row r="20" spans="1:7" x14ac:dyDescent="0.3">
      <c r="A20" s="111"/>
      <c r="B20" s="120"/>
      <c r="C20" s="2" t="s">
        <v>3</v>
      </c>
      <c r="D20" s="2" t="s">
        <v>22</v>
      </c>
      <c r="E20" s="2">
        <f>Грунт!E20</f>
        <v>18.7</v>
      </c>
      <c r="F20" s="10">
        <f t="shared" si="1"/>
        <v>44.6</v>
      </c>
      <c r="G20" s="119"/>
    </row>
    <row r="21" spans="1:7" x14ac:dyDescent="0.3">
      <c r="A21" s="9"/>
      <c r="B21" s="9"/>
      <c r="C21" s="9"/>
      <c r="D21" s="9"/>
      <c r="E21" s="2"/>
      <c r="F21" s="9"/>
      <c r="G21" s="9"/>
    </row>
    <row r="22" spans="1:7" x14ac:dyDescent="0.3">
      <c r="A22" s="124" t="s">
        <v>112</v>
      </c>
      <c r="B22" s="124"/>
      <c r="C22" s="124"/>
      <c r="D22" s="124"/>
      <c r="E22" s="124"/>
      <c r="F22" s="124"/>
      <c r="G22" s="124"/>
    </row>
    <row r="23" spans="1:7" ht="26.4" x14ac:dyDescent="0.3">
      <c r="A23" s="109"/>
      <c r="B23" s="5"/>
      <c r="C23" s="109"/>
      <c r="D23" s="109"/>
      <c r="E23" s="109" t="s">
        <v>58</v>
      </c>
      <c r="F23" s="109" t="s">
        <v>114</v>
      </c>
      <c r="G23" s="109" t="s">
        <v>2</v>
      </c>
    </row>
    <row r="24" spans="1:7" ht="26.4" x14ac:dyDescent="0.3">
      <c r="A24" s="109" t="s">
        <v>32</v>
      </c>
      <c r="B24" s="5" t="s">
        <v>0</v>
      </c>
      <c r="C24" s="109" t="s">
        <v>1</v>
      </c>
      <c r="D24" s="109" t="s">
        <v>54</v>
      </c>
      <c r="E24" s="109" t="s">
        <v>59</v>
      </c>
      <c r="F24" s="110" t="s">
        <v>118</v>
      </c>
      <c r="G24" s="109"/>
    </row>
    <row r="25" spans="1:7" x14ac:dyDescent="0.3">
      <c r="A25" s="111">
        <v>4</v>
      </c>
      <c r="B25" s="120" t="s">
        <v>112</v>
      </c>
      <c r="C25" s="2" t="s">
        <v>3</v>
      </c>
      <c r="D25" s="2" t="s">
        <v>5</v>
      </c>
      <c r="E25" s="2">
        <f>Грунт!E25</f>
        <v>61.5</v>
      </c>
      <c r="F25" s="10">
        <f>E25*2+0.9*6</f>
        <v>128.4</v>
      </c>
      <c r="G25" s="119">
        <f>SUM(F25:F27)</f>
        <v>201.60000000000002</v>
      </c>
    </row>
    <row r="26" spans="1:7" x14ac:dyDescent="0.3">
      <c r="A26" s="111"/>
      <c r="B26" s="120"/>
      <c r="C26" s="2" t="s">
        <v>3</v>
      </c>
      <c r="D26" s="2" t="s">
        <v>13</v>
      </c>
      <c r="E26" s="2">
        <f>Грунт!E26</f>
        <v>25.3</v>
      </c>
      <c r="F26" s="10">
        <f t="shared" ref="F26:F27" si="2">E26*2+0.9*6</f>
        <v>56</v>
      </c>
      <c r="G26" s="119"/>
    </row>
    <row r="27" spans="1:7" x14ac:dyDescent="0.3">
      <c r="A27" s="111"/>
      <c r="B27" s="120"/>
      <c r="C27" s="2" t="s">
        <v>3</v>
      </c>
      <c r="D27" s="2" t="s">
        <v>21</v>
      </c>
      <c r="E27" s="2">
        <f>Грунт!E27</f>
        <v>5.9</v>
      </c>
      <c r="F27" s="10">
        <f t="shared" si="2"/>
        <v>17.200000000000003</v>
      </c>
      <c r="G27" s="119"/>
    </row>
    <row r="28" spans="1:7" ht="15" thickBot="1" x14ac:dyDescent="0.35">
      <c r="E28" s="46"/>
    </row>
    <row r="29" spans="1:7" ht="15" thickBot="1" x14ac:dyDescent="0.35">
      <c r="E29" s="8">
        <f>SUM(E4:E27)</f>
        <v>550.19999999999993</v>
      </c>
      <c r="G29" s="8">
        <f>SUM(G4:G27)</f>
        <v>1227</v>
      </c>
    </row>
    <row r="30" spans="1:7" x14ac:dyDescent="0.3">
      <c r="E30" s="46"/>
    </row>
  </sheetData>
  <mergeCells count="16">
    <mergeCell ref="A25:A27"/>
    <mergeCell ref="B25:B27"/>
    <mergeCell ref="G25:G27"/>
    <mergeCell ref="A1:G1"/>
    <mergeCell ref="A4:A5"/>
    <mergeCell ref="B4:B5"/>
    <mergeCell ref="G4:G5"/>
    <mergeCell ref="A7:G7"/>
    <mergeCell ref="A10:A12"/>
    <mergeCell ref="B10:B12"/>
    <mergeCell ref="G10:G12"/>
    <mergeCell ref="A14:G14"/>
    <mergeCell ref="A17:A20"/>
    <mergeCell ref="B17:B20"/>
    <mergeCell ref="G17:G20"/>
    <mergeCell ref="A22:G2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1"/>
  <sheetViews>
    <sheetView zoomScaleNormal="100" workbookViewId="0">
      <selection sqref="A1:J1"/>
    </sheetView>
  </sheetViews>
  <sheetFormatPr defaultRowHeight="14.4" x14ac:dyDescent="0.3"/>
  <cols>
    <col min="1" max="1" width="7.6640625" customWidth="1"/>
    <col min="2" max="2" width="14" customWidth="1"/>
    <col min="3" max="3" width="10.44140625" customWidth="1"/>
    <col min="4" max="4" width="5.33203125" customWidth="1"/>
    <col min="5" max="5" width="20" customWidth="1"/>
    <col min="6" max="7" width="5.33203125" customWidth="1"/>
    <col min="8" max="8" width="17.44140625" customWidth="1"/>
    <col min="9" max="9" width="5.33203125" customWidth="1"/>
    <col min="10" max="10" width="17.44140625" customWidth="1"/>
    <col min="12" max="12" width="24.44140625" customWidth="1"/>
    <col min="13" max="14" width="23" customWidth="1"/>
  </cols>
  <sheetData>
    <row r="1" spans="1:17" x14ac:dyDescent="0.3">
      <c r="A1" s="136" t="s">
        <v>120</v>
      </c>
      <c r="B1" s="137"/>
      <c r="C1" s="137"/>
      <c r="D1" s="137"/>
      <c r="E1" s="137"/>
      <c r="F1" s="137"/>
      <c r="G1" s="137"/>
      <c r="H1" s="137"/>
      <c r="I1" s="137"/>
      <c r="J1" s="138"/>
      <c r="L1" s="104" t="s">
        <v>106</v>
      </c>
      <c r="M1" s="104" t="s">
        <v>109</v>
      </c>
      <c r="N1" s="97"/>
    </row>
    <row r="2" spans="1:17" ht="27" customHeight="1" x14ac:dyDescent="0.3">
      <c r="A2" s="52"/>
      <c r="B2" s="52"/>
      <c r="C2" s="52"/>
      <c r="D2" s="142" t="s">
        <v>9</v>
      </c>
      <c r="E2" s="142"/>
      <c r="F2" s="142"/>
      <c r="G2" s="142" t="s">
        <v>16</v>
      </c>
      <c r="H2" s="142"/>
      <c r="I2" s="142"/>
      <c r="J2" s="7" t="s">
        <v>17</v>
      </c>
      <c r="K2" s="7"/>
      <c r="L2" s="60" t="s">
        <v>110</v>
      </c>
      <c r="M2" s="60" t="s">
        <v>110</v>
      </c>
      <c r="N2" s="7"/>
      <c r="O2" s="7" t="s">
        <v>100</v>
      </c>
      <c r="P2" s="7" t="s">
        <v>101</v>
      </c>
      <c r="Q2" s="7" t="s">
        <v>17</v>
      </c>
    </row>
    <row r="3" spans="1:17" ht="28.8" x14ac:dyDescent="0.3">
      <c r="A3" s="52" t="s">
        <v>32</v>
      </c>
      <c r="B3" s="52" t="s">
        <v>54</v>
      </c>
      <c r="C3" s="52" t="s">
        <v>7</v>
      </c>
      <c r="D3" s="142" t="s">
        <v>66</v>
      </c>
      <c r="E3" s="142"/>
      <c r="F3" s="142"/>
      <c r="G3" s="142" t="s">
        <v>68</v>
      </c>
      <c r="H3" s="142"/>
      <c r="I3" s="142"/>
      <c r="J3" s="7" t="s">
        <v>8</v>
      </c>
      <c r="L3" s="105" t="s">
        <v>107</v>
      </c>
      <c r="M3" s="105" t="s">
        <v>108</v>
      </c>
      <c r="N3" s="98"/>
    </row>
    <row r="4" spans="1:17" ht="26.4" x14ac:dyDescent="0.3">
      <c r="A4" s="140">
        <v>1</v>
      </c>
      <c r="B4" s="55" t="s">
        <v>5</v>
      </c>
      <c r="C4" s="55">
        <v>72.8</v>
      </c>
      <c r="D4" s="55" t="s">
        <v>6</v>
      </c>
      <c r="E4" s="64" t="s">
        <v>81</v>
      </c>
      <c r="F4" s="3">
        <f>(0.6+1.569)/2-0.25</f>
        <v>0.83450000000000002</v>
      </c>
      <c r="G4" s="3" t="s">
        <v>12</v>
      </c>
      <c r="H4" s="3" t="s">
        <v>69</v>
      </c>
      <c r="I4" s="3">
        <f>0.2*2*F4</f>
        <v>0.33380000000000004</v>
      </c>
      <c r="J4" s="56">
        <f>I4*C4</f>
        <v>24.300640000000001</v>
      </c>
      <c r="L4" s="106">
        <f>2*C4*1.5</f>
        <v>218.39999999999998</v>
      </c>
      <c r="M4" s="106">
        <f>2*C4*(2*0.3+2*F4+2*0.6)</f>
        <v>505.08640000000003</v>
      </c>
      <c r="N4" s="95"/>
      <c r="O4" s="88">
        <v>7</v>
      </c>
      <c r="P4" s="88">
        <v>17.7</v>
      </c>
      <c r="Q4" s="72">
        <f>((0.5+0.45)/2-0.25)*0.2*2*P4</f>
        <v>1.593</v>
      </c>
    </row>
    <row r="5" spans="1:17" ht="26.4" x14ac:dyDescent="0.3">
      <c r="A5" s="140"/>
      <c r="B5" s="55" t="s">
        <v>13</v>
      </c>
      <c r="C5" s="55">
        <v>40</v>
      </c>
      <c r="D5" s="55" t="s">
        <v>6</v>
      </c>
      <c r="E5" s="64" t="s">
        <v>82</v>
      </c>
      <c r="F5" s="3">
        <f>(0.45+0.7)/2-0.25</f>
        <v>0.32499999999999996</v>
      </c>
      <c r="G5" s="3" t="s">
        <v>12</v>
      </c>
      <c r="H5" s="3" t="s">
        <v>69</v>
      </c>
      <c r="I5" s="3">
        <f>0.2*2*F5</f>
        <v>0.12999999999999998</v>
      </c>
      <c r="J5" s="56">
        <f>I5*C5</f>
        <v>5.1999999999999993</v>
      </c>
      <c r="L5" s="106">
        <f>2*C5*1.5</f>
        <v>120</v>
      </c>
      <c r="M5" s="106">
        <f>2*C5*(2*0.3+2*F5+2*0.6)</f>
        <v>196</v>
      </c>
      <c r="N5" s="99"/>
      <c r="O5" s="1"/>
      <c r="P5" s="1"/>
      <c r="Q5" s="1"/>
    </row>
    <row r="6" spans="1:17" x14ac:dyDescent="0.3">
      <c r="A6" s="57"/>
      <c r="B6" s="57"/>
      <c r="C6" s="57"/>
      <c r="D6" s="57"/>
      <c r="E6" s="57"/>
      <c r="F6" s="57"/>
      <c r="G6" s="57"/>
      <c r="H6" s="57"/>
      <c r="I6" s="57"/>
      <c r="J6" s="58">
        <f>SUM(J4:J5)</f>
        <v>29.500640000000001</v>
      </c>
      <c r="L6" s="58">
        <f>SUM(L4:L5)</f>
        <v>338.4</v>
      </c>
      <c r="M6" s="58">
        <f>SUM(M4:M5)</f>
        <v>701.08640000000003</v>
      </c>
      <c r="N6" s="100"/>
      <c r="O6" s="1"/>
      <c r="P6" s="1"/>
      <c r="Q6" s="1"/>
    </row>
    <row r="7" spans="1:17" x14ac:dyDescent="0.3">
      <c r="A7" s="57"/>
      <c r="B7" s="141"/>
      <c r="C7" s="141"/>
      <c r="D7" s="141"/>
      <c r="E7" s="141"/>
      <c r="F7" s="141"/>
      <c r="G7" s="141"/>
      <c r="H7" s="141"/>
      <c r="I7" s="141"/>
      <c r="J7" s="141"/>
      <c r="L7" s="107"/>
      <c r="M7" s="107"/>
      <c r="O7" s="1"/>
      <c r="P7" s="1"/>
      <c r="Q7" s="1"/>
    </row>
    <row r="8" spans="1:17" x14ac:dyDescent="0.3">
      <c r="A8" s="139" t="s">
        <v>120</v>
      </c>
      <c r="B8" s="139"/>
      <c r="C8" s="139"/>
      <c r="D8" s="139"/>
      <c r="E8" s="139"/>
      <c r="F8" s="139"/>
      <c r="G8" s="139"/>
      <c r="H8" s="139"/>
      <c r="I8" s="139"/>
      <c r="J8" s="139"/>
      <c r="L8" s="104" t="s">
        <v>106</v>
      </c>
      <c r="M8" s="104" t="s">
        <v>109</v>
      </c>
      <c r="N8" s="97"/>
      <c r="O8" s="1"/>
      <c r="P8" s="1"/>
      <c r="Q8" s="1"/>
    </row>
    <row r="9" spans="1:17" ht="27" customHeight="1" x14ac:dyDescent="0.3">
      <c r="A9" s="59"/>
      <c r="B9" s="59"/>
      <c r="C9" s="59"/>
      <c r="D9" s="133" t="s">
        <v>9</v>
      </c>
      <c r="E9" s="133"/>
      <c r="F9" s="133"/>
      <c r="G9" s="133" t="s">
        <v>16</v>
      </c>
      <c r="H9" s="133"/>
      <c r="I9" s="133"/>
      <c r="J9" s="60" t="s">
        <v>17</v>
      </c>
      <c r="L9" s="60" t="s">
        <v>110</v>
      </c>
      <c r="M9" s="60" t="s">
        <v>110</v>
      </c>
      <c r="N9" s="101"/>
      <c r="O9" s="1"/>
      <c r="P9" s="1"/>
      <c r="Q9" s="1"/>
    </row>
    <row r="10" spans="1:17" ht="28.8" x14ac:dyDescent="0.3">
      <c r="A10" s="59" t="s">
        <v>32</v>
      </c>
      <c r="B10" s="59" t="s">
        <v>54</v>
      </c>
      <c r="C10" s="59" t="s">
        <v>7</v>
      </c>
      <c r="D10" s="133" t="s">
        <v>11</v>
      </c>
      <c r="E10" s="133"/>
      <c r="F10" s="133"/>
      <c r="G10" s="133"/>
      <c r="H10" s="133"/>
      <c r="I10" s="133"/>
      <c r="J10" s="60" t="s">
        <v>8</v>
      </c>
      <c r="L10" s="105" t="s">
        <v>107</v>
      </c>
      <c r="M10" s="105" t="s">
        <v>108</v>
      </c>
      <c r="N10" s="98"/>
      <c r="O10" s="1"/>
      <c r="P10" s="1"/>
      <c r="Q10" s="1"/>
    </row>
    <row r="11" spans="1:17" ht="26.4" x14ac:dyDescent="0.3">
      <c r="A11" s="140">
        <v>2</v>
      </c>
      <c r="B11" s="55" t="s">
        <v>5</v>
      </c>
      <c r="C11" s="55">
        <v>50.8</v>
      </c>
      <c r="D11" s="87" t="s">
        <v>6</v>
      </c>
      <c r="E11" s="3" t="s">
        <v>88</v>
      </c>
      <c r="F11" s="3">
        <f>(1.3+1.969)/2-0.25</f>
        <v>1.3845000000000001</v>
      </c>
      <c r="G11" s="3" t="s">
        <v>12</v>
      </c>
      <c r="H11" s="3" t="s">
        <v>69</v>
      </c>
      <c r="I11" s="3">
        <f>0.2*2*F11</f>
        <v>0.55380000000000007</v>
      </c>
      <c r="J11" s="56">
        <f>I11*C11</f>
        <v>28.133040000000001</v>
      </c>
      <c r="L11" s="106">
        <f>2*C11*1.5</f>
        <v>152.39999999999998</v>
      </c>
      <c r="M11" s="106">
        <f>2*C11*(2*0.3+2*F11+2*0.6)</f>
        <v>464.21039999999999</v>
      </c>
      <c r="N11" s="95"/>
      <c r="O11" s="88">
        <v>6</v>
      </c>
      <c r="P11" s="88">
        <v>10.7</v>
      </c>
      <c r="Q11" s="72">
        <f>((0.5+0.45)/2-0.25)*0.2*2*P11</f>
        <v>0.96299999999999986</v>
      </c>
    </row>
    <row r="12" spans="1:17" ht="26.4" x14ac:dyDescent="0.3">
      <c r="A12" s="140"/>
      <c r="B12" s="55" t="s">
        <v>13</v>
      </c>
      <c r="C12" s="55">
        <v>21.6</v>
      </c>
      <c r="D12" s="87" t="s">
        <v>6</v>
      </c>
      <c r="E12" s="3" t="s">
        <v>86</v>
      </c>
      <c r="F12" s="3">
        <f>(0.45+0.81)/2-0.25</f>
        <v>0.38</v>
      </c>
      <c r="G12" s="3" t="s">
        <v>12</v>
      </c>
      <c r="H12" s="3" t="s">
        <v>69</v>
      </c>
      <c r="I12" s="3">
        <f>0.2*2*F12</f>
        <v>0.15200000000000002</v>
      </c>
      <c r="J12" s="56">
        <f>I12*C12</f>
        <v>3.2832000000000008</v>
      </c>
      <c r="L12" s="106">
        <f t="shared" ref="L12:L13" si="0">2*C12*1.5</f>
        <v>64.800000000000011</v>
      </c>
      <c r="M12" s="106">
        <f>2*C12*(2*0.3+2*F12+2*0.6)</f>
        <v>110.59199999999998</v>
      </c>
      <c r="N12" s="99"/>
      <c r="O12" s="1"/>
      <c r="P12" s="1"/>
      <c r="Q12" s="1"/>
    </row>
    <row r="13" spans="1:17" ht="26.4" x14ac:dyDescent="0.3">
      <c r="A13" s="140"/>
      <c r="B13" s="55" t="s">
        <v>21</v>
      </c>
      <c r="C13" s="55">
        <v>88.8</v>
      </c>
      <c r="D13" s="87" t="s">
        <v>6</v>
      </c>
      <c r="E13" s="3" t="s">
        <v>87</v>
      </c>
      <c r="F13" s="103">
        <f>(0.45+0.74)/2-0.25</f>
        <v>0.34499999999999997</v>
      </c>
      <c r="G13" s="3" t="s">
        <v>12</v>
      </c>
      <c r="H13" s="3" t="s">
        <v>69</v>
      </c>
      <c r="I13" s="3">
        <f>0.2*2*F13</f>
        <v>0.13799999999999998</v>
      </c>
      <c r="J13" s="56">
        <f>I13*C13</f>
        <v>12.254399999999999</v>
      </c>
      <c r="L13" s="106">
        <f t="shared" si="0"/>
        <v>266.39999999999998</v>
      </c>
      <c r="M13" s="106">
        <f>2*C13*(2*0.3+2*F13+2*0.6)</f>
        <v>442.22400000000005</v>
      </c>
      <c r="N13" s="99"/>
      <c r="O13" s="1"/>
      <c r="P13" s="1"/>
      <c r="Q13" s="1"/>
    </row>
    <row r="14" spans="1:17" x14ac:dyDescent="0.3">
      <c r="A14" s="57"/>
      <c r="B14" s="57"/>
      <c r="C14" s="57"/>
      <c r="D14" s="57"/>
      <c r="E14" s="57"/>
      <c r="F14" s="57"/>
      <c r="G14" s="57"/>
      <c r="H14" s="57"/>
      <c r="I14" s="57"/>
      <c r="J14" s="58">
        <f>SUM(J11:J13)</f>
        <v>43.670639999999999</v>
      </c>
      <c r="L14" s="58">
        <f>SUM(L11:L13)</f>
        <v>483.59999999999997</v>
      </c>
      <c r="M14" s="58">
        <f>SUM(M11:M13)</f>
        <v>1017.0264000000001</v>
      </c>
      <c r="N14" s="100"/>
      <c r="O14" s="1"/>
      <c r="P14" s="1"/>
      <c r="Q14" s="1"/>
    </row>
    <row r="15" spans="1:17" x14ac:dyDescent="0.3">
      <c r="A15" s="57"/>
      <c r="B15" s="141"/>
      <c r="C15" s="141"/>
      <c r="D15" s="141"/>
      <c r="E15" s="141"/>
      <c r="F15" s="141"/>
      <c r="G15" s="141"/>
      <c r="H15" s="141"/>
      <c r="I15" s="141"/>
      <c r="J15" s="141"/>
      <c r="L15" s="107"/>
      <c r="M15" s="107"/>
      <c r="O15" s="1"/>
      <c r="P15" s="1"/>
      <c r="Q15" s="1"/>
    </row>
    <row r="16" spans="1:17" x14ac:dyDescent="0.3">
      <c r="A16" s="139" t="s">
        <v>120</v>
      </c>
      <c r="B16" s="139"/>
      <c r="C16" s="139"/>
      <c r="D16" s="139"/>
      <c r="E16" s="139"/>
      <c r="F16" s="139"/>
      <c r="G16" s="139"/>
      <c r="H16" s="139"/>
      <c r="I16" s="139"/>
      <c r="J16" s="139"/>
      <c r="L16" s="104" t="s">
        <v>106</v>
      </c>
      <c r="M16" s="104" t="s">
        <v>109</v>
      </c>
      <c r="N16" s="97"/>
      <c r="O16" s="1"/>
      <c r="P16" s="1"/>
      <c r="Q16" s="1"/>
    </row>
    <row r="17" spans="1:18" ht="27" customHeight="1" x14ac:dyDescent="0.3">
      <c r="A17" s="59"/>
      <c r="B17" s="59"/>
      <c r="C17" s="59"/>
      <c r="D17" s="133" t="s">
        <v>9</v>
      </c>
      <c r="E17" s="133"/>
      <c r="F17" s="133"/>
      <c r="G17" s="133" t="s">
        <v>16</v>
      </c>
      <c r="H17" s="133"/>
      <c r="I17" s="133"/>
      <c r="J17" s="60" t="s">
        <v>17</v>
      </c>
      <c r="L17" s="60" t="s">
        <v>110</v>
      </c>
      <c r="M17" s="60" t="s">
        <v>110</v>
      </c>
      <c r="N17" s="101"/>
      <c r="O17" s="1"/>
      <c r="P17" s="1"/>
      <c r="Q17" s="1"/>
    </row>
    <row r="18" spans="1:18" ht="28.8" x14ac:dyDescent="0.3">
      <c r="A18" s="59" t="s">
        <v>32</v>
      </c>
      <c r="B18" s="59" t="s">
        <v>54</v>
      </c>
      <c r="C18" s="59" t="s">
        <v>7</v>
      </c>
      <c r="D18" s="133" t="s">
        <v>66</v>
      </c>
      <c r="E18" s="133"/>
      <c r="F18" s="133"/>
      <c r="G18" s="133"/>
      <c r="H18" s="133"/>
      <c r="I18" s="133"/>
      <c r="J18" s="60" t="s">
        <v>8</v>
      </c>
      <c r="L18" s="105" t="s">
        <v>107</v>
      </c>
      <c r="M18" s="105" t="s">
        <v>108</v>
      </c>
      <c r="N18" s="98"/>
      <c r="O18" s="1"/>
      <c r="P18" s="1"/>
      <c r="Q18" s="1"/>
    </row>
    <row r="19" spans="1:18" ht="26.4" x14ac:dyDescent="0.3">
      <c r="A19" s="140">
        <v>3</v>
      </c>
      <c r="B19" s="143" t="s">
        <v>5</v>
      </c>
      <c r="C19" s="55">
        <v>23</v>
      </c>
      <c r="D19" s="55" t="s">
        <v>6</v>
      </c>
      <c r="E19" s="3" t="s">
        <v>76</v>
      </c>
      <c r="F19" s="3">
        <f>(0.9+1.356)/2-0.25</f>
        <v>0.87800000000000011</v>
      </c>
      <c r="G19" s="3" t="s">
        <v>12</v>
      </c>
      <c r="H19" s="3" t="s">
        <v>69</v>
      </c>
      <c r="I19" s="3">
        <f t="shared" ref="I19:I24" si="1">0.2*2*F19</f>
        <v>0.35120000000000007</v>
      </c>
      <c r="J19" s="56">
        <f t="shared" ref="J19:J26" si="2">I19*C19</f>
        <v>8.0776000000000021</v>
      </c>
      <c r="L19" s="106">
        <f>2*C19*1.5</f>
        <v>69</v>
      </c>
      <c r="M19" s="106">
        <f>2*C19*(2*0.3+2*F19+2*0.6)</f>
        <v>163.57599999999999</v>
      </c>
      <c r="N19" s="95"/>
      <c r="O19" s="88">
        <v>3</v>
      </c>
      <c r="P19" s="88">
        <v>4.2</v>
      </c>
      <c r="Q19" s="72">
        <f>(1.081-0.25)*0.2*2*P19</f>
        <v>1.3960800000000002</v>
      </c>
    </row>
    <row r="20" spans="1:18" ht="27" thickBot="1" x14ac:dyDescent="0.35">
      <c r="A20" s="140"/>
      <c r="B20" s="144"/>
      <c r="C20" s="65">
        <v>18</v>
      </c>
      <c r="D20" s="55" t="s">
        <v>6</v>
      </c>
      <c r="E20" s="64" t="s">
        <v>84</v>
      </c>
      <c r="F20" s="3">
        <f>(1.356+1.795)/2-0.5</f>
        <v>1.0754999999999999</v>
      </c>
      <c r="G20" s="3" t="s">
        <v>12</v>
      </c>
      <c r="H20" s="3" t="s">
        <v>69</v>
      </c>
      <c r="I20" s="3">
        <f t="shared" si="1"/>
        <v>0.43019999999999997</v>
      </c>
      <c r="J20" s="56">
        <f t="shared" si="2"/>
        <v>7.7435999999999998</v>
      </c>
      <c r="L20" s="106">
        <f t="shared" ref="L20:L21" si="3">2*C20*1.5</f>
        <v>54</v>
      </c>
      <c r="M20" s="106">
        <f>2*C20*(2*0.3+2*F20+2*0.6)</f>
        <v>142.23599999999999</v>
      </c>
      <c r="N20" s="99"/>
    </row>
    <row r="21" spans="1:18" ht="27" thickBot="1" x14ac:dyDescent="0.35">
      <c r="A21" s="140"/>
      <c r="B21" s="145"/>
      <c r="C21" s="65">
        <f>53.9-C19-C20</f>
        <v>12.899999999999999</v>
      </c>
      <c r="D21" s="55" t="s">
        <v>6</v>
      </c>
      <c r="E21" s="64" t="s">
        <v>83</v>
      </c>
      <c r="F21" s="3">
        <f>(1.795+1.978)/2-0.25</f>
        <v>1.6364999999999998</v>
      </c>
      <c r="G21" s="3" t="s">
        <v>12</v>
      </c>
      <c r="H21" s="3" t="s">
        <v>69</v>
      </c>
      <c r="I21" s="3">
        <f t="shared" si="1"/>
        <v>0.65459999999999996</v>
      </c>
      <c r="J21" s="56">
        <f t="shared" si="2"/>
        <v>8.4443399999999986</v>
      </c>
      <c r="L21" s="106">
        <f t="shared" si="3"/>
        <v>38.699999999999996</v>
      </c>
      <c r="M21" s="106">
        <f t="shared" ref="M21:M26" si="4">2*C21*(2*0.3+2*F21+2*0.6)</f>
        <v>130.88339999999997</v>
      </c>
      <c r="N21" s="99"/>
      <c r="Q21" s="90">
        <f>SUM(Q4:Q19)</f>
        <v>3.9520800000000005</v>
      </c>
      <c r="R21" s="89" t="s">
        <v>102</v>
      </c>
    </row>
    <row r="22" spans="1:18" ht="26.4" x14ac:dyDescent="0.3">
      <c r="A22" s="140"/>
      <c r="B22" s="143" t="s">
        <v>13</v>
      </c>
      <c r="C22" s="55">
        <v>26</v>
      </c>
      <c r="D22" s="55" t="s">
        <v>6</v>
      </c>
      <c r="E22" s="3" t="s">
        <v>78</v>
      </c>
      <c r="F22" s="3">
        <f>(0.968+0.45)/2-0.25</f>
        <v>0.45899999999999996</v>
      </c>
      <c r="G22" s="3" t="s">
        <v>12</v>
      </c>
      <c r="H22" s="3" t="s">
        <v>69</v>
      </c>
      <c r="I22" s="3">
        <f t="shared" si="1"/>
        <v>0.18359999999999999</v>
      </c>
      <c r="J22" s="56">
        <f t="shared" si="2"/>
        <v>4.7736000000000001</v>
      </c>
      <c r="L22" s="106">
        <f>2*C22*1.5</f>
        <v>78</v>
      </c>
      <c r="M22" s="106">
        <f t="shared" si="4"/>
        <v>141.33600000000001</v>
      </c>
      <c r="N22" s="99"/>
    </row>
    <row r="23" spans="1:18" ht="26.4" x14ac:dyDescent="0.3">
      <c r="A23" s="140"/>
      <c r="B23" s="144"/>
      <c r="C23" s="65">
        <f>38.2-C22</f>
        <v>12.200000000000003</v>
      </c>
      <c r="D23" s="55" t="s">
        <v>6</v>
      </c>
      <c r="E23" s="64" t="s">
        <v>85</v>
      </c>
      <c r="F23" s="3">
        <f>(0.968+1.214)/2-0.5</f>
        <v>0.59099999999999997</v>
      </c>
      <c r="G23" s="3" t="s">
        <v>12</v>
      </c>
      <c r="H23" s="3" t="s">
        <v>69</v>
      </c>
      <c r="I23" s="3">
        <f t="shared" si="1"/>
        <v>0.2364</v>
      </c>
      <c r="J23" s="56">
        <f t="shared" si="2"/>
        <v>2.8840800000000009</v>
      </c>
      <c r="L23" s="106">
        <f t="shared" ref="L23" si="5">2*C23*1.5</f>
        <v>36.600000000000009</v>
      </c>
      <c r="M23" s="106">
        <f t="shared" si="4"/>
        <v>72.760800000000017</v>
      </c>
      <c r="N23" s="99"/>
    </row>
    <row r="24" spans="1:18" ht="26.4" x14ac:dyDescent="0.3">
      <c r="A24" s="140"/>
      <c r="B24" s="55" t="s">
        <v>21</v>
      </c>
      <c r="C24" s="55">
        <f>40.1-3.5</f>
        <v>36.6</v>
      </c>
      <c r="D24" s="55" t="s">
        <v>6</v>
      </c>
      <c r="E24" s="3" t="s">
        <v>77</v>
      </c>
      <c r="F24" s="3">
        <f>(0.6+1.29)/2-0.25</f>
        <v>0.69500000000000006</v>
      </c>
      <c r="G24" s="3" t="s">
        <v>12</v>
      </c>
      <c r="H24" s="3" t="s">
        <v>69</v>
      </c>
      <c r="I24" s="3">
        <f t="shared" si="1"/>
        <v>0.27800000000000002</v>
      </c>
      <c r="J24" s="56">
        <f t="shared" si="2"/>
        <v>10.174800000000001</v>
      </c>
      <c r="L24" s="106">
        <f>2*C24*1.5</f>
        <v>109.80000000000001</v>
      </c>
      <c r="M24" s="106">
        <f t="shared" si="4"/>
        <v>233.50800000000004</v>
      </c>
      <c r="N24" s="99"/>
    </row>
    <row r="25" spans="1:18" ht="26.4" x14ac:dyDescent="0.3">
      <c r="A25" s="140"/>
      <c r="B25" s="140" t="s">
        <v>22</v>
      </c>
      <c r="C25" s="55">
        <v>18.7</v>
      </c>
      <c r="D25" s="55" t="s">
        <v>6</v>
      </c>
      <c r="E25" s="3" t="s">
        <v>71</v>
      </c>
      <c r="F25" s="3">
        <f>(1.5+1.762)/2-0.5</f>
        <v>1.131</v>
      </c>
      <c r="G25" s="3" t="s">
        <v>12</v>
      </c>
      <c r="H25" s="3" t="s">
        <v>73</v>
      </c>
      <c r="I25" s="3">
        <f>0.2*F25</f>
        <v>0.22620000000000001</v>
      </c>
      <c r="J25" s="56">
        <f t="shared" si="2"/>
        <v>4.22994</v>
      </c>
      <c r="L25" s="106">
        <f t="shared" ref="L25:L26" si="6">2*C25*1.5</f>
        <v>56.099999999999994</v>
      </c>
      <c r="M25" s="106">
        <f t="shared" si="4"/>
        <v>151.9188</v>
      </c>
      <c r="N25" s="99"/>
    </row>
    <row r="26" spans="1:18" ht="26.4" x14ac:dyDescent="0.3">
      <c r="A26" s="140"/>
      <c r="B26" s="140"/>
      <c r="C26" s="55">
        <v>18.7</v>
      </c>
      <c r="D26" s="55" t="s">
        <v>6</v>
      </c>
      <c r="E26" s="3" t="s">
        <v>72</v>
      </c>
      <c r="F26" s="3">
        <f>(1.5+1.762)/2-0.6</f>
        <v>1.0310000000000001</v>
      </c>
      <c r="G26" s="3" t="s">
        <v>12</v>
      </c>
      <c r="H26" s="3" t="s">
        <v>74</v>
      </c>
      <c r="I26" s="3">
        <f>0.55*F26</f>
        <v>0.56705000000000017</v>
      </c>
      <c r="J26" s="56">
        <f t="shared" si="2"/>
        <v>10.603835000000002</v>
      </c>
      <c r="L26" s="106">
        <f t="shared" si="6"/>
        <v>56.099999999999994</v>
      </c>
      <c r="M26" s="106">
        <f t="shared" si="4"/>
        <v>144.43879999999999</v>
      </c>
      <c r="N26" s="99"/>
    </row>
    <row r="27" spans="1:18" x14ac:dyDescent="0.3">
      <c r="A27" s="57"/>
      <c r="B27" s="57"/>
      <c r="C27" s="57"/>
      <c r="D27" s="57"/>
      <c r="E27" s="57"/>
      <c r="F27" s="57"/>
      <c r="G27" s="57"/>
      <c r="H27" s="57"/>
      <c r="I27" s="57"/>
      <c r="J27" s="58">
        <f>SUM(J19:J26)</f>
        <v>56.931795000000008</v>
      </c>
      <c r="L27" s="58">
        <f>SUM(L19:L26)</f>
        <v>498.30000000000007</v>
      </c>
      <c r="M27" s="58">
        <f>SUM(M19:M26)</f>
        <v>1180.6578</v>
      </c>
      <c r="N27" s="100"/>
    </row>
    <row r="28" spans="1:18" x14ac:dyDescent="0.3">
      <c r="A28" s="57"/>
      <c r="B28" s="141"/>
      <c r="C28" s="141"/>
      <c r="D28" s="141"/>
      <c r="E28" s="141"/>
      <c r="F28" s="141"/>
      <c r="G28" s="141"/>
      <c r="H28" s="141"/>
      <c r="I28" s="141"/>
      <c r="J28" s="141"/>
      <c r="L28" s="107"/>
      <c r="M28" s="107"/>
    </row>
    <row r="29" spans="1:18" x14ac:dyDescent="0.3">
      <c r="A29" s="139" t="s">
        <v>120</v>
      </c>
      <c r="B29" s="139"/>
      <c r="C29" s="139"/>
      <c r="D29" s="139"/>
      <c r="E29" s="139"/>
      <c r="F29" s="139"/>
      <c r="G29" s="139"/>
      <c r="H29" s="139"/>
      <c r="I29" s="139"/>
      <c r="J29" s="139"/>
      <c r="L29" s="104" t="s">
        <v>106</v>
      </c>
      <c r="M29" s="104" t="s">
        <v>109</v>
      </c>
      <c r="N29" s="97"/>
    </row>
    <row r="30" spans="1:18" ht="27" customHeight="1" x14ac:dyDescent="0.3">
      <c r="A30" s="59"/>
      <c r="B30" s="59"/>
      <c r="C30" s="59"/>
      <c r="D30" s="133" t="s">
        <v>65</v>
      </c>
      <c r="E30" s="133"/>
      <c r="F30" s="133"/>
      <c r="G30" s="133" t="s">
        <v>16</v>
      </c>
      <c r="H30" s="133"/>
      <c r="I30" s="133"/>
      <c r="J30" s="60" t="s">
        <v>17</v>
      </c>
      <c r="L30" s="60" t="s">
        <v>110</v>
      </c>
      <c r="M30" s="60" t="s">
        <v>110</v>
      </c>
      <c r="N30" s="101"/>
    </row>
    <row r="31" spans="1:18" ht="28.8" x14ac:dyDescent="0.3">
      <c r="A31" s="59" t="s">
        <v>32</v>
      </c>
      <c r="B31" s="59" t="s">
        <v>54</v>
      </c>
      <c r="C31" s="59" t="s">
        <v>7</v>
      </c>
      <c r="D31" s="133" t="s">
        <v>66</v>
      </c>
      <c r="E31" s="133"/>
      <c r="F31" s="133"/>
      <c r="G31" s="133" t="s">
        <v>68</v>
      </c>
      <c r="H31" s="133"/>
      <c r="I31" s="133"/>
      <c r="J31" s="60" t="s">
        <v>8</v>
      </c>
      <c r="L31" s="105" t="s">
        <v>107</v>
      </c>
      <c r="M31" s="105" t="s">
        <v>108</v>
      </c>
      <c r="N31" s="98"/>
    </row>
    <row r="32" spans="1:18" ht="26.4" x14ac:dyDescent="0.3">
      <c r="A32" s="140">
        <v>4</v>
      </c>
      <c r="B32" s="140" t="s">
        <v>5</v>
      </c>
      <c r="C32" s="55">
        <f>61.5-C33-C34</f>
        <v>23.099999999999998</v>
      </c>
      <c r="D32" s="55" t="s">
        <v>6</v>
      </c>
      <c r="E32" s="3" t="s">
        <v>67</v>
      </c>
      <c r="F32" s="3">
        <f>(0.918+0.6)/2-0.25</f>
        <v>0.50900000000000001</v>
      </c>
      <c r="G32" s="3" t="s">
        <v>12</v>
      </c>
      <c r="H32" s="3" t="s">
        <v>69</v>
      </c>
      <c r="I32" s="3">
        <f>0.2*2*F32</f>
        <v>0.2036</v>
      </c>
      <c r="J32" s="56">
        <f>I32*C32</f>
        <v>4.7031599999999996</v>
      </c>
      <c r="L32" s="106">
        <f>2*C32*1.5</f>
        <v>69.3</v>
      </c>
      <c r="M32" s="106">
        <f>2*C32*(2*0.3+2*F32+2*0.6)</f>
        <v>130.19159999999997</v>
      </c>
      <c r="N32" s="99"/>
    </row>
    <row r="33" spans="1:14" ht="26.4" x14ac:dyDescent="0.3">
      <c r="A33" s="140"/>
      <c r="B33" s="140"/>
      <c r="C33" s="55">
        <v>14.7</v>
      </c>
      <c r="D33" s="55" t="s">
        <v>6</v>
      </c>
      <c r="E33" s="3" t="s">
        <v>89</v>
      </c>
      <c r="F33" s="3">
        <f>(1.103+0.918)/2-0.5</f>
        <v>0.51049999999999995</v>
      </c>
      <c r="G33" s="3" t="s">
        <v>12</v>
      </c>
      <c r="H33" s="3" t="s">
        <v>69</v>
      </c>
      <c r="I33" s="3">
        <f>0.2*2*F33</f>
        <v>0.20419999999999999</v>
      </c>
      <c r="J33" s="56">
        <f>I33*C33</f>
        <v>3.0017399999999999</v>
      </c>
      <c r="L33" s="106">
        <f t="shared" ref="L33" si="7">2*C33*1.5</f>
        <v>44.099999999999994</v>
      </c>
      <c r="M33" s="106">
        <f>2*C33*(2*0.3+2*F33+2*0.6)</f>
        <v>82.937399999999982</v>
      </c>
      <c r="N33" s="99"/>
    </row>
    <row r="34" spans="1:14" ht="26.4" x14ac:dyDescent="0.3">
      <c r="A34" s="140"/>
      <c r="B34" s="140"/>
      <c r="C34" s="55">
        <v>23.7</v>
      </c>
      <c r="D34" s="55" t="s">
        <v>6</v>
      </c>
      <c r="E34" s="3" t="s">
        <v>70</v>
      </c>
      <c r="F34" s="3">
        <f>(1.419+1.103)/2-0.25</f>
        <v>1.0110000000000001</v>
      </c>
      <c r="G34" s="3" t="s">
        <v>12</v>
      </c>
      <c r="H34" s="3" t="s">
        <v>69</v>
      </c>
      <c r="I34" s="3">
        <f>0.2*2*F34</f>
        <v>0.40440000000000009</v>
      </c>
      <c r="J34" s="56">
        <f>I34*C34</f>
        <v>9.5842800000000015</v>
      </c>
      <c r="L34" s="106">
        <f>2*C34*1.5</f>
        <v>71.099999999999994</v>
      </c>
      <c r="M34" s="106">
        <f t="shared" ref="M34:M36" si="8">2*C34*(2*0.3+2*F34+2*0.6)</f>
        <v>181.1628</v>
      </c>
      <c r="N34" s="99"/>
    </row>
    <row r="35" spans="1:14" ht="26.4" x14ac:dyDescent="0.3">
      <c r="A35" s="140"/>
      <c r="B35" s="55" t="s">
        <v>13</v>
      </c>
      <c r="C35" s="55">
        <v>25.3</v>
      </c>
      <c r="D35" s="55" t="s">
        <v>6</v>
      </c>
      <c r="E35" s="3" t="s">
        <v>75</v>
      </c>
      <c r="F35" s="3">
        <f>(0.45+0.787)/2-0.25</f>
        <v>0.36850000000000005</v>
      </c>
      <c r="G35" s="3" t="s">
        <v>12</v>
      </c>
      <c r="H35" s="3" t="s">
        <v>69</v>
      </c>
      <c r="I35" s="3">
        <f>0.2*2*F35</f>
        <v>0.14740000000000003</v>
      </c>
      <c r="J35" s="56">
        <f>I35*C35</f>
        <v>3.7292200000000011</v>
      </c>
      <c r="L35" s="106">
        <f t="shared" ref="L35:L36" si="9">2*C35*1.5</f>
        <v>75.900000000000006</v>
      </c>
      <c r="M35" s="106">
        <f t="shared" si="8"/>
        <v>128.37219999999999</v>
      </c>
      <c r="N35" s="99"/>
    </row>
    <row r="36" spans="1:14" x14ac:dyDescent="0.3">
      <c r="A36" s="140"/>
      <c r="B36" s="55" t="s">
        <v>21</v>
      </c>
      <c r="C36" s="55">
        <v>5.9</v>
      </c>
      <c r="D36" s="55"/>
      <c r="E36" s="3"/>
      <c r="F36" s="3"/>
      <c r="G36" s="3"/>
      <c r="H36" s="3"/>
      <c r="I36" s="3"/>
      <c r="J36" s="56">
        <f>I36*C36</f>
        <v>0</v>
      </c>
      <c r="L36" s="106">
        <f t="shared" si="9"/>
        <v>17.700000000000003</v>
      </c>
      <c r="M36" s="106">
        <f t="shared" si="8"/>
        <v>21.24</v>
      </c>
      <c r="N36" s="99"/>
    </row>
    <row r="37" spans="1:14" x14ac:dyDescent="0.3">
      <c r="A37" s="57"/>
      <c r="B37" s="57"/>
      <c r="C37" s="57"/>
      <c r="D37" s="57"/>
      <c r="E37" s="57"/>
      <c r="F37" s="57"/>
      <c r="G37" s="57"/>
      <c r="H37" s="57"/>
      <c r="I37" s="57"/>
      <c r="J37" s="58">
        <f>SUM(J32:J36)</f>
        <v>21.018400000000003</v>
      </c>
      <c r="L37" s="58">
        <f>SUM(L32:L36)</f>
        <v>278.09999999999997</v>
      </c>
      <c r="M37" s="58">
        <f>SUM(M32:M36)</f>
        <v>543.904</v>
      </c>
      <c r="N37" s="100"/>
    </row>
    <row r="38" spans="1:14" ht="15" thickBot="1" x14ac:dyDescent="0.35">
      <c r="A38" s="54"/>
      <c r="B38" s="54"/>
      <c r="C38" s="54"/>
      <c r="D38" s="54"/>
      <c r="E38" s="54"/>
      <c r="F38" s="54"/>
      <c r="G38" s="54"/>
      <c r="H38" s="54"/>
      <c r="I38" s="54"/>
      <c r="J38" s="32"/>
      <c r="L38" s="107"/>
      <c r="M38" s="107"/>
    </row>
    <row r="39" spans="1:14" ht="15" thickBot="1" x14ac:dyDescent="0.35">
      <c r="J39" s="96">
        <f>J6+J14+J27+J37</f>
        <v>151.121475</v>
      </c>
      <c r="L39" s="108">
        <f>L6+L14+L27+L37</f>
        <v>1598.4</v>
      </c>
      <c r="M39" s="108">
        <f>M6+M14+M27+M37</f>
        <v>3442.6745999999998</v>
      </c>
      <c r="N39" s="102"/>
    </row>
    <row r="40" spans="1:14" ht="15" thickBot="1" x14ac:dyDescent="0.35"/>
    <row r="41" spans="1:14" ht="15" thickBot="1" x14ac:dyDescent="0.35">
      <c r="L41" s="134">
        <f>L39+M39</f>
        <v>5041.0745999999999</v>
      </c>
      <c r="M41" s="135"/>
    </row>
  </sheetData>
  <mergeCells count="32">
    <mergeCell ref="A32:A36"/>
    <mergeCell ref="B32:B34"/>
    <mergeCell ref="A19:A26"/>
    <mergeCell ref="B28:J28"/>
    <mergeCell ref="D30:F30"/>
    <mergeCell ref="G30:I30"/>
    <mergeCell ref="D31:F31"/>
    <mergeCell ref="G31:I31"/>
    <mergeCell ref="B25:B26"/>
    <mergeCell ref="A29:J29"/>
    <mergeCell ref="B22:B23"/>
    <mergeCell ref="B19:B21"/>
    <mergeCell ref="A1:J1"/>
    <mergeCell ref="A16:J16"/>
    <mergeCell ref="A4:A5"/>
    <mergeCell ref="B7:J7"/>
    <mergeCell ref="D9:F9"/>
    <mergeCell ref="G9:I9"/>
    <mergeCell ref="D10:F10"/>
    <mergeCell ref="G10:I10"/>
    <mergeCell ref="A11:A13"/>
    <mergeCell ref="B15:J15"/>
    <mergeCell ref="D2:F2"/>
    <mergeCell ref="G2:I2"/>
    <mergeCell ref="D3:F3"/>
    <mergeCell ref="G3:I3"/>
    <mergeCell ref="A8:J8"/>
    <mergeCell ref="G17:I17"/>
    <mergeCell ref="D18:F18"/>
    <mergeCell ref="G18:I18"/>
    <mergeCell ref="D17:F17"/>
    <mergeCell ref="L41:M41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13" zoomScaleNormal="100" workbookViewId="0">
      <selection activeCell="F24" sqref="F24:F27"/>
    </sheetView>
  </sheetViews>
  <sheetFormatPr defaultRowHeight="14.4" x14ac:dyDescent="0.3"/>
  <cols>
    <col min="1" max="1" width="7.6640625" customWidth="1"/>
    <col min="2" max="2" width="23.33203125" customWidth="1"/>
    <col min="3" max="3" width="7" customWidth="1"/>
    <col min="4" max="4" width="14" customWidth="1"/>
    <col min="5" max="5" width="10.44140625" customWidth="1"/>
    <col min="6" max="6" width="22.6640625" customWidth="1"/>
    <col min="7" max="7" width="17.44140625" customWidth="1"/>
  </cols>
  <sheetData>
    <row r="1" spans="1:7" x14ac:dyDescent="0.3">
      <c r="A1" s="124" t="s">
        <v>113</v>
      </c>
      <c r="B1" s="124"/>
      <c r="C1" s="124"/>
      <c r="D1" s="124"/>
      <c r="E1" s="124"/>
      <c r="F1" s="124"/>
      <c r="G1" s="124"/>
    </row>
    <row r="2" spans="1:7" ht="26.4" x14ac:dyDescent="0.3">
      <c r="A2" s="109"/>
      <c r="B2" s="5"/>
      <c r="C2" s="109"/>
      <c r="D2" s="109"/>
      <c r="E2" s="109" t="s">
        <v>58</v>
      </c>
      <c r="F2" s="109" t="s">
        <v>114</v>
      </c>
      <c r="G2" s="109" t="s">
        <v>2</v>
      </c>
    </row>
    <row r="3" spans="1:7" ht="26.4" x14ac:dyDescent="0.3">
      <c r="A3" s="109" t="s">
        <v>32</v>
      </c>
      <c r="B3" s="5" t="s">
        <v>0</v>
      </c>
      <c r="C3" s="109" t="s">
        <v>1</v>
      </c>
      <c r="D3" s="109" t="s">
        <v>54</v>
      </c>
      <c r="E3" s="109" t="s">
        <v>59</v>
      </c>
      <c r="F3" s="109" t="s">
        <v>115</v>
      </c>
      <c r="G3" s="109"/>
    </row>
    <row r="4" spans="1:7" x14ac:dyDescent="0.3">
      <c r="A4" s="111">
        <v>1</v>
      </c>
      <c r="B4" s="120" t="s">
        <v>113</v>
      </c>
      <c r="C4" s="2" t="s">
        <v>3</v>
      </c>
      <c r="D4" s="2" t="s">
        <v>5</v>
      </c>
      <c r="E4" s="2">
        <f>Грунт!E4</f>
        <v>90.5</v>
      </c>
      <c r="F4" s="10">
        <f>E4*2+0.7*12</f>
        <v>189.4</v>
      </c>
      <c r="G4" s="119">
        <f>SUM(F4:F5)</f>
        <v>277.8</v>
      </c>
    </row>
    <row r="5" spans="1:7" x14ac:dyDescent="0.3">
      <c r="A5" s="111"/>
      <c r="B5" s="120"/>
      <c r="C5" s="2" t="s">
        <v>3</v>
      </c>
      <c r="D5" s="2" t="s">
        <v>13</v>
      </c>
      <c r="E5" s="2">
        <f>Грунт!E5</f>
        <v>40</v>
      </c>
      <c r="F5" s="10">
        <f>E5*2+0.7*12</f>
        <v>88.4</v>
      </c>
      <c r="G5" s="119"/>
    </row>
    <row r="6" spans="1:7" x14ac:dyDescent="0.3">
      <c r="A6" s="9"/>
      <c r="B6" s="9"/>
      <c r="C6" s="9"/>
      <c r="D6" s="9"/>
      <c r="E6" s="19"/>
      <c r="F6" s="9"/>
      <c r="G6" s="9"/>
    </row>
    <row r="7" spans="1:7" x14ac:dyDescent="0.3">
      <c r="A7" s="124" t="s">
        <v>113</v>
      </c>
      <c r="B7" s="124"/>
      <c r="C7" s="124"/>
      <c r="D7" s="124"/>
      <c r="E7" s="124"/>
      <c r="F7" s="124"/>
      <c r="G7" s="124"/>
    </row>
    <row r="8" spans="1:7" ht="26.4" x14ac:dyDescent="0.3">
      <c r="A8" s="109"/>
      <c r="B8" s="5"/>
      <c r="C8" s="109"/>
      <c r="D8" s="109"/>
      <c r="E8" s="109" t="s">
        <v>58</v>
      </c>
      <c r="F8" s="109" t="s">
        <v>114</v>
      </c>
      <c r="G8" s="109" t="s">
        <v>2</v>
      </c>
    </row>
    <row r="9" spans="1:7" ht="26.4" x14ac:dyDescent="0.3">
      <c r="A9" s="109" t="s">
        <v>32</v>
      </c>
      <c r="B9" s="5" t="s">
        <v>0</v>
      </c>
      <c r="C9" s="109" t="s">
        <v>1</v>
      </c>
      <c r="D9" s="109" t="s">
        <v>54</v>
      </c>
      <c r="E9" s="109" t="s">
        <v>59</v>
      </c>
      <c r="F9" s="109" t="s">
        <v>116</v>
      </c>
      <c r="G9" s="109"/>
    </row>
    <row r="10" spans="1:7" x14ac:dyDescent="0.3">
      <c r="A10" s="111">
        <v>2</v>
      </c>
      <c r="B10" s="120" t="s">
        <v>113</v>
      </c>
      <c r="C10" s="2" t="s">
        <v>3</v>
      </c>
      <c r="D10" s="2" t="s">
        <v>5</v>
      </c>
      <c r="E10" s="2">
        <f>Грунт!E10</f>
        <v>61.5</v>
      </c>
      <c r="F10" s="10">
        <f>E10*2+0.9*24</f>
        <v>144.6</v>
      </c>
      <c r="G10" s="119">
        <f>SUM(F10:F12)</f>
        <v>408.6</v>
      </c>
    </row>
    <row r="11" spans="1:7" x14ac:dyDescent="0.3">
      <c r="A11" s="111"/>
      <c r="B11" s="120"/>
      <c r="C11" s="2" t="s">
        <v>3</v>
      </c>
      <c r="D11" s="2" t="s">
        <v>13</v>
      </c>
      <c r="E11" s="2">
        <f>Грунт!E11</f>
        <v>21.6</v>
      </c>
      <c r="F11" s="10">
        <f t="shared" ref="F11:F12" si="0">E11*2+0.9*24</f>
        <v>64.800000000000011</v>
      </c>
      <c r="G11" s="119"/>
    </row>
    <row r="12" spans="1:7" x14ac:dyDescent="0.3">
      <c r="A12" s="111"/>
      <c r="B12" s="120"/>
      <c r="C12" s="2" t="s">
        <v>3</v>
      </c>
      <c r="D12" s="2" t="s">
        <v>21</v>
      </c>
      <c r="E12" s="2">
        <f>Грунт!E12</f>
        <v>88.8</v>
      </c>
      <c r="F12" s="10">
        <f t="shared" si="0"/>
        <v>199.2</v>
      </c>
      <c r="G12" s="119"/>
    </row>
    <row r="13" spans="1:7" x14ac:dyDescent="0.3">
      <c r="A13" s="9"/>
      <c r="B13" s="9"/>
      <c r="C13" s="9"/>
      <c r="D13" s="9"/>
      <c r="E13" s="2"/>
      <c r="F13" s="9"/>
      <c r="G13" s="9"/>
    </row>
    <row r="14" spans="1:7" x14ac:dyDescent="0.3">
      <c r="A14" s="124" t="s">
        <v>113</v>
      </c>
      <c r="B14" s="124"/>
      <c r="C14" s="124"/>
      <c r="D14" s="124"/>
      <c r="E14" s="124"/>
      <c r="F14" s="124"/>
      <c r="G14" s="124"/>
    </row>
    <row r="15" spans="1:7" ht="26.4" x14ac:dyDescent="0.3">
      <c r="A15" s="109"/>
      <c r="B15" s="5"/>
      <c r="C15" s="109"/>
      <c r="D15" s="109"/>
      <c r="E15" s="109" t="s">
        <v>58</v>
      </c>
      <c r="F15" s="109" t="s">
        <v>114</v>
      </c>
      <c r="G15" s="109" t="s">
        <v>2</v>
      </c>
    </row>
    <row r="16" spans="1:7" ht="26.4" x14ac:dyDescent="0.3">
      <c r="A16" s="109" t="s">
        <v>32</v>
      </c>
      <c r="B16" s="5" t="s">
        <v>0</v>
      </c>
      <c r="C16" s="109" t="s">
        <v>1</v>
      </c>
      <c r="D16" s="109" t="s">
        <v>54</v>
      </c>
      <c r="E16" s="109" t="s">
        <v>59</v>
      </c>
      <c r="F16" s="109" t="s">
        <v>117</v>
      </c>
      <c r="G16" s="109"/>
    </row>
    <row r="17" spans="1:7" x14ac:dyDescent="0.3">
      <c r="A17" s="111">
        <v>3</v>
      </c>
      <c r="B17" s="120" t="s">
        <v>113</v>
      </c>
      <c r="C17" s="2" t="s">
        <v>3</v>
      </c>
      <c r="D17" s="47" t="s">
        <v>5</v>
      </c>
      <c r="E17" s="2">
        <f>Грунт!E17</f>
        <v>53.9</v>
      </c>
      <c r="F17" s="10">
        <f>E17*2+0.9*8</f>
        <v>115</v>
      </c>
      <c r="G17" s="119">
        <f>SUM(F17:F20)</f>
        <v>339.00000000000006</v>
      </c>
    </row>
    <row r="18" spans="1:7" x14ac:dyDescent="0.3">
      <c r="A18" s="111"/>
      <c r="B18" s="120"/>
      <c r="C18" s="2" t="s">
        <v>3</v>
      </c>
      <c r="D18" s="2" t="s">
        <v>13</v>
      </c>
      <c r="E18" s="2">
        <f>Грунт!E18</f>
        <v>38.200000000000003</v>
      </c>
      <c r="F18" s="10">
        <f t="shared" ref="F18:F20" si="1">E18*2+0.9*8</f>
        <v>83.600000000000009</v>
      </c>
      <c r="G18" s="119"/>
    </row>
    <row r="19" spans="1:7" x14ac:dyDescent="0.3">
      <c r="A19" s="111"/>
      <c r="B19" s="120"/>
      <c r="C19" s="2" t="s">
        <v>3</v>
      </c>
      <c r="D19" s="2" t="s">
        <v>21</v>
      </c>
      <c r="E19" s="2">
        <f>Грунт!E19</f>
        <v>44.300000000000004</v>
      </c>
      <c r="F19" s="10">
        <f t="shared" si="1"/>
        <v>95.800000000000011</v>
      </c>
      <c r="G19" s="119"/>
    </row>
    <row r="20" spans="1:7" x14ac:dyDescent="0.3">
      <c r="A20" s="111"/>
      <c r="B20" s="120"/>
      <c r="C20" s="2" t="s">
        <v>3</v>
      </c>
      <c r="D20" s="2" t="s">
        <v>22</v>
      </c>
      <c r="E20" s="2">
        <f>Грунт!E20</f>
        <v>18.7</v>
      </c>
      <c r="F20" s="10">
        <f t="shared" si="1"/>
        <v>44.6</v>
      </c>
      <c r="G20" s="119"/>
    </row>
    <row r="21" spans="1:7" x14ac:dyDescent="0.3">
      <c r="A21" s="9"/>
      <c r="B21" s="9"/>
      <c r="C21" s="9"/>
      <c r="D21" s="9"/>
      <c r="E21" s="2"/>
      <c r="F21" s="9"/>
      <c r="G21" s="9"/>
    </row>
    <row r="22" spans="1:7" x14ac:dyDescent="0.3">
      <c r="A22" s="124" t="s">
        <v>113</v>
      </c>
      <c r="B22" s="124"/>
      <c r="C22" s="124"/>
      <c r="D22" s="124"/>
      <c r="E22" s="124"/>
      <c r="F22" s="124"/>
      <c r="G22" s="124"/>
    </row>
    <row r="23" spans="1:7" ht="26.4" x14ac:dyDescent="0.3">
      <c r="A23" s="109"/>
      <c r="B23" s="5"/>
      <c r="C23" s="109"/>
      <c r="D23" s="109"/>
      <c r="E23" s="109" t="s">
        <v>58</v>
      </c>
      <c r="F23" s="109" t="s">
        <v>114</v>
      </c>
      <c r="G23" s="109" t="s">
        <v>2</v>
      </c>
    </row>
    <row r="24" spans="1:7" ht="26.4" x14ac:dyDescent="0.3">
      <c r="A24" s="109" t="s">
        <v>32</v>
      </c>
      <c r="B24" s="5" t="s">
        <v>0</v>
      </c>
      <c r="C24" s="109" t="s">
        <v>1</v>
      </c>
      <c r="D24" s="109" t="s">
        <v>54</v>
      </c>
      <c r="E24" s="109" t="s">
        <v>59</v>
      </c>
      <c r="F24" s="109" t="s">
        <v>118</v>
      </c>
      <c r="G24" s="109"/>
    </row>
    <row r="25" spans="1:7" x14ac:dyDescent="0.3">
      <c r="A25" s="111">
        <v>4</v>
      </c>
      <c r="B25" s="120" t="s">
        <v>113</v>
      </c>
      <c r="C25" s="2" t="s">
        <v>3</v>
      </c>
      <c r="D25" s="2" t="s">
        <v>5</v>
      </c>
      <c r="E25" s="2">
        <f>Грунт!E25</f>
        <v>61.5</v>
      </c>
      <c r="F25" s="10">
        <f>E25*2+0.9*6</f>
        <v>128.4</v>
      </c>
      <c r="G25" s="119">
        <f>SUM(F25:F27)</f>
        <v>201.60000000000002</v>
      </c>
    </row>
    <row r="26" spans="1:7" x14ac:dyDescent="0.3">
      <c r="A26" s="111"/>
      <c r="B26" s="120"/>
      <c r="C26" s="2" t="s">
        <v>3</v>
      </c>
      <c r="D26" s="2" t="s">
        <v>13</v>
      </c>
      <c r="E26" s="2">
        <f>Грунт!E26</f>
        <v>25.3</v>
      </c>
      <c r="F26" s="10">
        <f t="shared" ref="F26:F27" si="2">E26*2+0.9*6</f>
        <v>56</v>
      </c>
      <c r="G26" s="119"/>
    </row>
    <row r="27" spans="1:7" x14ac:dyDescent="0.3">
      <c r="A27" s="111"/>
      <c r="B27" s="120"/>
      <c r="C27" s="2" t="s">
        <v>3</v>
      </c>
      <c r="D27" s="2" t="s">
        <v>21</v>
      </c>
      <c r="E27" s="2">
        <f>Грунт!E27</f>
        <v>5.9</v>
      </c>
      <c r="F27" s="10">
        <f t="shared" si="2"/>
        <v>17.200000000000003</v>
      </c>
      <c r="G27" s="119"/>
    </row>
    <row r="28" spans="1:7" ht="15" thickBot="1" x14ac:dyDescent="0.35">
      <c r="E28" s="46"/>
    </row>
    <row r="29" spans="1:7" ht="15" thickBot="1" x14ac:dyDescent="0.35">
      <c r="E29" s="8">
        <f>SUM(E4:E27)</f>
        <v>550.19999999999993</v>
      </c>
      <c r="G29" s="8">
        <f>SUM(G4:G27)</f>
        <v>1227</v>
      </c>
    </row>
    <row r="30" spans="1:7" x14ac:dyDescent="0.3">
      <c r="E30" s="46"/>
    </row>
  </sheetData>
  <mergeCells count="16">
    <mergeCell ref="A25:A27"/>
    <mergeCell ref="B25:B27"/>
    <mergeCell ref="G25:G27"/>
    <mergeCell ref="A1:G1"/>
    <mergeCell ref="A4:A5"/>
    <mergeCell ref="B4:B5"/>
    <mergeCell ref="G4:G5"/>
    <mergeCell ref="A7:G7"/>
    <mergeCell ref="A10:A12"/>
    <mergeCell ref="B10:B12"/>
    <mergeCell ref="G10:G12"/>
    <mergeCell ref="A14:G14"/>
    <mergeCell ref="A17:A20"/>
    <mergeCell ref="B17:B20"/>
    <mergeCell ref="G17:G20"/>
    <mergeCell ref="A22:G2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"/>
  <sheetViews>
    <sheetView topLeftCell="K1" zoomScaleNormal="100" workbookViewId="0">
      <selection activeCell="R27" sqref="R27"/>
    </sheetView>
  </sheetViews>
  <sheetFormatPr defaultRowHeight="14.4" x14ac:dyDescent="0.3"/>
  <cols>
    <col min="1" max="1" width="7.6640625" customWidth="1"/>
    <col min="2" max="2" width="14" customWidth="1"/>
    <col min="3" max="3" width="14.44140625" customWidth="1"/>
    <col min="4" max="4" width="4.88671875" customWidth="1"/>
    <col min="5" max="5" width="16.6640625" customWidth="1"/>
    <col min="6" max="6" width="5.33203125" customWidth="1"/>
    <col min="7" max="7" width="16.6640625" customWidth="1"/>
    <col min="8" max="8" width="12.6640625" customWidth="1"/>
    <col min="9" max="9" width="3.109375" customWidth="1"/>
    <col min="10" max="10" width="16.88671875" customWidth="1"/>
    <col min="11" max="13" width="19.33203125" customWidth="1"/>
    <col min="14" max="14" width="23.44140625" customWidth="1"/>
    <col min="15" max="15" width="23.5546875" customWidth="1"/>
    <col min="16" max="16" width="23.6640625" customWidth="1"/>
    <col min="17" max="18" width="18.6640625" customWidth="1"/>
    <col min="19" max="19" width="48.88671875" customWidth="1"/>
    <col min="20" max="21" width="18.6640625" customWidth="1"/>
  </cols>
  <sheetData>
    <row r="1" spans="1:19" x14ac:dyDescent="0.3">
      <c r="B1" s="146" t="s">
        <v>80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9" x14ac:dyDescent="0.3">
      <c r="A2" s="19"/>
      <c r="I2" s="19"/>
      <c r="J2" s="20" t="s">
        <v>34</v>
      </c>
      <c r="K2" s="20" t="s">
        <v>40</v>
      </c>
      <c r="L2" s="20" t="s">
        <v>43</v>
      </c>
      <c r="M2" s="20" t="s">
        <v>41</v>
      </c>
      <c r="N2" s="118" t="s">
        <v>42</v>
      </c>
      <c r="O2" s="118"/>
      <c r="P2" s="91" t="s">
        <v>90</v>
      </c>
      <c r="Q2" s="91" t="s">
        <v>91</v>
      </c>
      <c r="R2" s="91" t="s">
        <v>92</v>
      </c>
      <c r="S2" s="93" t="s">
        <v>103</v>
      </c>
    </row>
    <row r="3" spans="1:19" ht="26.1" customHeight="1" x14ac:dyDescent="0.3">
      <c r="A3" s="6"/>
      <c r="B3" s="6"/>
      <c r="C3" s="6"/>
      <c r="D3" s="142" t="s">
        <v>9</v>
      </c>
      <c r="E3" s="142"/>
      <c r="F3" s="142" t="s">
        <v>16</v>
      </c>
      <c r="G3" s="142"/>
      <c r="H3" s="7" t="s">
        <v>17</v>
      </c>
      <c r="I3" s="21"/>
      <c r="J3" s="22" t="s">
        <v>46</v>
      </c>
      <c r="K3" s="22" t="s">
        <v>49</v>
      </c>
      <c r="L3" s="22" t="s">
        <v>50</v>
      </c>
      <c r="M3" s="7" t="s">
        <v>53</v>
      </c>
      <c r="N3" s="7" t="s">
        <v>52</v>
      </c>
      <c r="O3" s="7" t="s">
        <v>17</v>
      </c>
      <c r="P3" s="7" t="s">
        <v>17</v>
      </c>
      <c r="Q3" s="7" t="s">
        <v>17</v>
      </c>
      <c r="R3" s="7" t="s">
        <v>17</v>
      </c>
      <c r="S3" s="7" t="s">
        <v>104</v>
      </c>
    </row>
    <row r="4" spans="1:19" ht="25.5" customHeight="1" x14ac:dyDescent="0.3">
      <c r="A4" s="2" t="s">
        <v>32</v>
      </c>
      <c r="B4" s="6" t="s">
        <v>54</v>
      </c>
      <c r="C4" s="38" t="s">
        <v>7</v>
      </c>
      <c r="D4" s="151" t="s">
        <v>11</v>
      </c>
      <c r="E4" s="151"/>
      <c r="F4" s="151" t="s">
        <v>10</v>
      </c>
      <c r="G4" s="151"/>
      <c r="H4" s="37" t="s">
        <v>8</v>
      </c>
      <c r="I4" s="20"/>
      <c r="J4" s="20"/>
      <c r="K4" s="63" t="s">
        <v>96</v>
      </c>
      <c r="L4" s="63" t="s">
        <v>97</v>
      </c>
      <c r="M4" s="61" t="s">
        <v>44</v>
      </c>
      <c r="N4" s="61" t="s">
        <v>99</v>
      </c>
      <c r="O4" s="62" t="s">
        <v>51</v>
      </c>
      <c r="P4" s="71" t="str">
        <f>Подб_Лотков!G3</f>
        <v>V=(1.5*L-0.9*1.2*N)*0.1</v>
      </c>
      <c r="Q4" s="71" t="str">
        <f>Днище_Лотков!F3</f>
        <v>V=0.9*0.3*L</v>
      </c>
      <c r="R4" s="71" t="s">
        <v>93</v>
      </c>
      <c r="S4" s="94" t="s">
        <v>105</v>
      </c>
    </row>
    <row r="5" spans="1:19" ht="24.9" customHeight="1" x14ac:dyDescent="0.3">
      <c r="A5" s="132">
        <v>1</v>
      </c>
      <c r="B5" s="2" t="s">
        <v>5</v>
      </c>
      <c r="C5" s="2">
        <v>72.8</v>
      </c>
      <c r="D5" s="38" t="s">
        <v>6</v>
      </c>
      <c r="E5" s="39">
        <f>(2.77+1.808)/2-0.34</f>
        <v>1.9490000000000001</v>
      </c>
      <c r="F5" s="39" t="s">
        <v>12</v>
      </c>
      <c r="G5" s="39">
        <f>(5.5+2.5)/2*E5</f>
        <v>7.7960000000000003</v>
      </c>
      <c r="H5" s="40">
        <f>G5*C5</f>
        <v>567.54880000000003</v>
      </c>
      <c r="I5" s="20"/>
      <c r="J5" s="41">
        <v>23</v>
      </c>
      <c r="K5" s="23">
        <f>Щебень!F4</f>
        <v>12.420000000000003</v>
      </c>
      <c r="L5" s="23">
        <f>Подб_Роств!F4</f>
        <v>3.5419999999999998</v>
      </c>
      <c r="M5" s="23">
        <f>0.9*1.2*0.6*J5</f>
        <v>14.904</v>
      </c>
      <c r="N5" s="23">
        <f>(2.1+3.3)/2*0.8*C5</f>
        <v>157.24799999999999</v>
      </c>
      <c r="O5" s="67">
        <f>N5-K5-L5-M5</f>
        <v>126.38199999999998</v>
      </c>
      <c r="P5" s="72">
        <f>Подб_Лотков!G4</f>
        <v>11.091000000000001</v>
      </c>
      <c r="Q5" s="72">
        <f>Днище_Лотков!F4</f>
        <v>24.435000000000002</v>
      </c>
      <c r="R5" s="72">
        <f>Стены_Лотков!J4</f>
        <v>24.300640000000001</v>
      </c>
    </row>
    <row r="6" spans="1:19" ht="24.9" customHeight="1" thickBot="1" x14ac:dyDescent="0.35">
      <c r="A6" s="132"/>
      <c r="B6" s="2" t="s">
        <v>13</v>
      </c>
      <c r="C6" s="2">
        <v>40</v>
      </c>
      <c r="D6" s="38" t="s">
        <v>6</v>
      </c>
      <c r="E6" s="39">
        <f>(1.835+1.657)/2-0.34</f>
        <v>1.4059999999999999</v>
      </c>
      <c r="F6" s="39" t="s">
        <v>12</v>
      </c>
      <c r="G6" s="39">
        <f>(5.5+2.5)/2*E6</f>
        <v>5.6239999999999997</v>
      </c>
      <c r="H6" s="42">
        <f>G6*C6</f>
        <v>224.95999999999998</v>
      </c>
      <c r="I6" s="20"/>
      <c r="J6" s="43">
        <v>10</v>
      </c>
      <c r="K6" s="24">
        <f>Щебень!F5</f>
        <v>5.4000000000000012</v>
      </c>
      <c r="L6" s="24">
        <f>Подб_Роств!F5</f>
        <v>1.54</v>
      </c>
      <c r="M6" s="23">
        <f>0.9*1.2*0.6*J6</f>
        <v>6.48</v>
      </c>
      <c r="N6" s="23">
        <f>(2.1+3.3)/2*0.8*C6</f>
        <v>86.4</v>
      </c>
      <c r="O6" s="68">
        <f t="shared" ref="O6:O22" si="0">N6-K6-L6-M6</f>
        <v>72.97999999999999</v>
      </c>
      <c r="P6" s="72">
        <f>Подб_Лотков!G5</f>
        <v>4.9200000000000008</v>
      </c>
      <c r="Q6" s="72">
        <f>Днище_Лотков!F5</f>
        <v>10.8</v>
      </c>
      <c r="R6" s="72">
        <f>Стены_Лотков!J5</f>
        <v>5.1999999999999993</v>
      </c>
    </row>
    <row r="7" spans="1:19" ht="15" thickBot="1" x14ac:dyDescent="0.35">
      <c r="A7" s="19"/>
      <c r="B7" s="19"/>
      <c r="C7" s="19"/>
      <c r="D7" s="19"/>
      <c r="E7" s="19"/>
      <c r="F7" s="19"/>
      <c r="G7" s="25"/>
      <c r="H7" s="26">
        <f>SUM(H5:H6)</f>
        <v>792.50880000000006</v>
      </c>
      <c r="I7" s="27"/>
      <c r="J7" s="73">
        <f>SUM(J5:J6)</f>
        <v>33</v>
      </c>
      <c r="K7" s="74">
        <f t="shared" ref="K7:R7" si="1">SUM(K5:K6)</f>
        <v>17.820000000000004</v>
      </c>
      <c r="L7" s="74">
        <f t="shared" si="1"/>
        <v>5.0819999999999999</v>
      </c>
      <c r="M7" s="74">
        <f t="shared" si="1"/>
        <v>21.384</v>
      </c>
      <c r="N7" s="74">
        <f t="shared" si="1"/>
        <v>243.648</v>
      </c>
      <c r="O7" s="75">
        <f t="shared" si="1"/>
        <v>199.36199999999997</v>
      </c>
      <c r="P7" s="75">
        <f t="shared" si="1"/>
        <v>16.011000000000003</v>
      </c>
      <c r="Q7" s="75">
        <f t="shared" si="1"/>
        <v>35.234999999999999</v>
      </c>
      <c r="R7" s="75">
        <f t="shared" si="1"/>
        <v>29.500640000000001</v>
      </c>
    </row>
    <row r="8" spans="1:19" x14ac:dyDescent="0.3">
      <c r="A8" s="28"/>
      <c r="B8" s="28"/>
      <c r="C8" s="28"/>
      <c r="D8" s="29"/>
      <c r="E8" s="30"/>
      <c r="F8" s="29"/>
      <c r="G8" s="31"/>
      <c r="H8" s="32"/>
      <c r="I8" s="33"/>
      <c r="J8" s="32"/>
      <c r="K8" s="32"/>
      <c r="L8" s="32"/>
      <c r="M8" s="32"/>
      <c r="N8" s="32"/>
      <c r="O8" s="32"/>
      <c r="P8" s="72"/>
      <c r="Q8" s="72"/>
      <c r="R8" s="72"/>
    </row>
    <row r="9" spans="1:19" x14ac:dyDescent="0.3">
      <c r="A9" s="132">
        <v>2</v>
      </c>
      <c r="B9" s="2" t="s">
        <v>5</v>
      </c>
      <c r="C9" s="2">
        <v>50.8</v>
      </c>
      <c r="D9" s="38" t="s">
        <v>6</v>
      </c>
      <c r="E9" s="39">
        <f>(3.17+2.505)/2-0.34</f>
        <v>2.4975000000000001</v>
      </c>
      <c r="F9" s="39" t="s">
        <v>12</v>
      </c>
      <c r="G9" s="39">
        <f>(5.5+2.5)/2*E9</f>
        <v>9.99</v>
      </c>
      <c r="H9" s="40">
        <f>G9*C9</f>
        <v>507.49199999999996</v>
      </c>
      <c r="I9" s="20"/>
      <c r="J9" s="41">
        <v>15</v>
      </c>
      <c r="K9" s="23">
        <f>Щебень!F10</f>
        <v>8.1000000000000014</v>
      </c>
      <c r="L9" s="23">
        <f>Подб_Роств!F9</f>
        <v>2.31</v>
      </c>
      <c r="M9" s="23">
        <f>0.9*1.2*0.6*J9</f>
        <v>9.7200000000000006</v>
      </c>
      <c r="N9" s="23">
        <f>(2.1+3.3)/2*0.8*C9</f>
        <v>109.72799999999999</v>
      </c>
      <c r="O9" s="67">
        <f t="shared" si="0"/>
        <v>89.597999999999985</v>
      </c>
      <c r="P9" s="72">
        <f>Подб_Лотков!G10</f>
        <v>7.6050000000000004</v>
      </c>
      <c r="Q9" s="72">
        <f>Днище_Лотков!F10</f>
        <v>16.605</v>
      </c>
      <c r="R9" s="72">
        <f>Стены_Лотков!J11</f>
        <v>28.133040000000001</v>
      </c>
    </row>
    <row r="10" spans="1:19" x14ac:dyDescent="0.3">
      <c r="A10" s="132"/>
      <c r="B10" s="2" t="s">
        <v>13</v>
      </c>
      <c r="C10" s="2">
        <v>21.6</v>
      </c>
      <c r="D10" s="38" t="s">
        <v>6</v>
      </c>
      <c r="E10" s="39">
        <f>(1.948+1.659)/2-0.34</f>
        <v>1.4635</v>
      </c>
      <c r="F10" s="39" t="s">
        <v>12</v>
      </c>
      <c r="G10" s="39">
        <f>(5.5+2.5)/2*E10</f>
        <v>5.8540000000000001</v>
      </c>
      <c r="H10" s="40">
        <f>G10*C10</f>
        <v>126.44640000000001</v>
      </c>
      <c r="I10" s="20"/>
      <c r="J10" s="41">
        <v>7</v>
      </c>
      <c r="K10" s="23">
        <f>Щебень!F11</f>
        <v>3.7800000000000011</v>
      </c>
      <c r="L10" s="23">
        <f>Подб_Роств!F10</f>
        <v>1.0780000000000001</v>
      </c>
      <c r="M10" s="23">
        <f>0.9*1.2*0.6*J10</f>
        <v>4.5360000000000005</v>
      </c>
      <c r="N10" s="23">
        <f>(2.1+3.3)/2*0.8*C10</f>
        <v>46.656000000000006</v>
      </c>
      <c r="O10" s="67">
        <f t="shared" si="0"/>
        <v>37.262</v>
      </c>
      <c r="P10" s="72">
        <f>Подб_Лотков!G11</f>
        <v>2.4840000000000004</v>
      </c>
      <c r="Q10" s="72">
        <f>Днище_Лотков!F11</f>
        <v>5.8320000000000007</v>
      </c>
      <c r="R10" s="72">
        <f>Стены_Лотков!J12</f>
        <v>3.2832000000000008</v>
      </c>
    </row>
    <row r="11" spans="1:19" ht="15" thickBot="1" x14ac:dyDescent="0.35">
      <c r="A11" s="132"/>
      <c r="B11" s="2" t="s">
        <v>21</v>
      </c>
      <c r="C11" s="2">
        <v>88.8</v>
      </c>
      <c r="D11" s="38" t="s">
        <v>6</v>
      </c>
      <c r="E11" s="39">
        <f>(1.9+1.65)/2-0.34</f>
        <v>1.4349999999999998</v>
      </c>
      <c r="F11" s="39" t="s">
        <v>12</v>
      </c>
      <c r="G11" s="39">
        <f>(5.5+2.5)/2*E11</f>
        <v>5.7399999999999993</v>
      </c>
      <c r="H11" s="42">
        <f>G11*C11</f>
        <v>509.71199999999993</v>
      </c>
      <c r="I11" s="20"/>
      <c r="J11" s="43">
        <v>24</v>
      </c>
      <c r="K11" s="24">
        <f>Щебень!F12</f>
        <v>13.500000000000004</v>
      </c>
      <c r="L11" s="24">
        <f>Подб_Роств!F11</f>
        <v>3.85</v>
      </c>
      <c r="M11" s="23">
        <f>0.9*1.2*0.6*J11</f>
        <v>15.552</v>
      </c>
      <c r="N11" s="23">
        <f>(2.1+3.3)/2*0.8*C11</f>
        <v>191.80799999999999</v>
      </c>
      <c r="O11" s="68">
        <f t="shared" si="0"/>
        <v>158.90600000000001</v>
      </c>
      <c r="P11" s="72">
        <f>Подб_Лотков!G12</f>
        <v>10.62</v>
      </c>
      <c r="Q11" s="72">
        <f>Днище_Лотков!F12</f>
        <v>23.975999999999999</v>
      </c>
      <c r="R11" s="72">
        <f>Стены_Лотков!J13</f>
        <v>12.254399999999999</v>
      </c>
    </row>
    <row r="12" spans="1:19" ht="15" thickBot="1" x14ac:dyDescent="0.35">
      <c r="A12" s="19"/>
      <c r="B12" s="19"/>
      <c r="C12" s="19"/>
      <c r="D12" s="19"/>
      <c r="E12" s="19"/>
      <c r="F12" s="19"/>
      <c r="G12" s="25"/>
      <c r="H12" s="26">
        <f>SUM(H9:H11)</f>
        <v>1143.6504</v>
      </c>
      <c r="I12" s="27"/>
      <c r="J12" s="35">
        <f>SUM(J9:J11)</f>
        <v>46</v>
      </c>
      <c r="K12" s="26">
        <f t="shared" ref="K12:R12" si="2">SUM(K9:K11)</f>
        <v>25.380000000000006</v>
      </c>
      <c r="L12" s="26">
        <f t="shared" si="2"/>
        <v>7.2379999999999995</v>
      </c>
      <c r="M12" s="26">
        <f t="shared" si="2"/>
        <v>29.808</v>
      </c>
      <c r="N12" s="26">
        <f t="shared" si="2"/>
        <v>348.19200000000001</v>
      </c>
      <c r="O12" s="69">
        <f t="shared" si="2"/>
        <v>285.76599999999996</v>
      </c>
      <c r="P12" s="69">
        <f t="shared" si="2"/>
        <v>20.709</v>
      </c>
      <c r="Q12" s="69">
        <f t="shared" si="2"/>
        <v>46.412999999999997</v>
      </c>
      <c r="R12" s="69">
        <f t="shared" si="2"/>
        <v>43.670639999999999</v>
      </c>
    </row>
    <row r="13" spans="1:19" x14ac:dyDescent="0.3">
      <c r="A13" s="31"/>
      <c r="B13" s="29"/>
      <c r="C13" s="31"/>
      <c r="D13" s="31"/>
      <c r="E13" s="31"/>
      <c r="F13" s="31"/>
      <c r="G13" s="31"/>
      <c r="H13" s="32"/>
      <c r="I13" s="33"/>
      <c r="J13" s="32"/>
      <c r="K13" s="32"/>
      <c r="L13" s="32"/>
      <c r="M13" s="32"/>
      <c r="N13" s="32"/>
      <c r="O13" s="32"/>
      <c r="P13" s="72"/>
      <c r="Q13" s="72"/>
      <c r="R13" s="72"/>
    </row>
    <row r="14" spans="1:19" x14ac:dyDescent="0.3">
      <c r="A14" s="132">
        <v>3</v>
      </c>
      <c r="B14" s="2" t="s">
        <v>5</v>
      </c>
      <c r="C14" s="2">
        <v>53.9</v>
      </c>
      <c r="D14" s="38" t="s">
        <v>6</v>
      </c>
      <c r="E14" s="39">
        <f>(3.179+2.107)/2-0.34</f>
        <v>2.3029999999999999</v>
      </c>
      <c r="F14" s="39" t="s">
        <v>12</v>
      </c>
      <c r="G14" s="39">
        <f>(5.5+2.5)/2*E14</f>
        <v>9.2119999999999997</v>
      </c>
      <c r="H14" s="40">
        <f>G14*C14</f>
        <v>496.52679999999998</v>
      </c>
      <c r="I14" s="20"/>
      <c r="J14" s="41">
        <v>13</v>
      </c>
      <c r="K14" s="23">
        <f>Щебень!F17</f>
        <v>7.0200000000000022</v>
      </c>
      <c r="L14" s="23">
        <f>Подб_Роств!F15</f>
        <v>2.0019999999999998</v>
      </c>
      <c r="M14" s="23">
        <f>0.9*1.2*0.6*J14</f>
        <v>8.4239999999999995</v>
      </c>
      <c r="N14" s="23">
        <f>(2.1+3.3)/2*0.8*C14</f>
        <v>116.42400000000001</v>
      </c>
      <c r="O14" s="67">
        <f t="shared" si="0"/>
        <v>98.978000000000009</v>
      </c>
      <c r="P14" s="72">
        <f>Подб_Лотков!G17</f>
        <v>6.6809999999999992</v>
      </c>
      <c r="Q14" s="72">
        <f>Днище_Лотков!F17</f>
        <v>14.553000000000001</v>
      </c>
      <c r="R14" s="72">
        <f>Стены_Лотков!J19+Стены_Лотков!J20+Стены_Лотков!J21</f>
        <v>24.265540000000001</v>
      </c>
    </row>
    <row r="15" spans="1:19" x14ac:dyDescent="0.3">
      <c r="A15" s="132"/>
      <c r="B15" s="2" t="s">
        <v>13</v>
      </c>
      <c r="C15" s="2">
        <v>38.200000000000003</v>
      </c>
      <c r="D15" s="38" t="s">
        <v>6</v>
      </c>
      <c r="E15" s="39">
        <f>(2.371+1.657)/2-0.34</f>
        <v>1.6740000000000002</v>
      </c>
      <c r="F15" s="39" t="s">
        <v>12</v>
      </c>
      <c r="G15" s="39">
        <f>(5.5+2.5)/2*E15</f>
        <v>6.6960000000000006</v>
      </c>
      <c r="H15" s="40">
        <f>G15*C15</f>
        <v>255.78720000000004</v>
      </c>
      <c r="I15" s="20"/>
      <c r="J15" s="41">
        <v>10</v>
      </c>
      <c r="K15" s="23">
        <f>Щебень!F18</f>
        <v>5.4000000000000012</v>
      </c>
      <c r="L15" s="23">
        <f>Подб_Роств!F16</f>
        <v>1.54</v>
      </c>
      <c r="M15" s="23">
        <f>0.9*1.2*0.6*J15</f>
        <v>6.48</v>
      </c>
      <c r="N15" s="23">
        <f>(2.1+3.3)/2*0.8*C15</f>
        <v>82.512000000000015</v>
      </c>
      <c r="O15" s="67">
        <f t="shared" si="0"/>
        <v>69.091999999999999</v>
      </c>
      <c r="P15" s="72">
        <f>Подб_Лотков!G18</f>
        <v>4.6500000000000004</v>
      </c>
      <c r="Q15" s="72">
        <f>Днище_Лотков!F18</f>
        <v>10.314000000000002</v>
      </c>
      <c r="R15" s="72">
        <f>Стены_Лотков!J22+Стены_Лотков!J23</f>
        <v>7.6576800000000009</v>
      </c>
    </row>
    <row r="16" spans="1:19" x14ac:dyDescent="0.3">
      <c r="A16" s="132"/>
      <c r="B16" s="2" t="s">
        <v>21</v>
      </c>
      <c r="C16" s="2">
        <v>40.1</v>
      </c>
      <c r="D16" s="38" t="s">
        <v>6</v>
      </c>
      <c r="E16" s="39">
        <f>(2.455+1.708)/2-0.34</f>
        <v>1.7415</v>
      </c>
      <c r="F16" s="39" t="s">
        <v>12</v>
      </c>
      <c r="G16" s="39">
        <f>(5.5+2.5)/2*E16</f>
        <v>6.9660000000000002</v>
      </c>
      <c r="H16" s="40">
        <f>G16*C16</f>
        <v>279.33660000000003</v>
      </c>
      <c r="I16" s="20"/>
      <c r="J16" s="41">
        <v>10</v>
      </c>
      <c r="K16" s="23">
        <f>Щебень!F19</f>
        <v>5.4000000000000012</v>
      </c>
      <c r="L16" s="23">
        <f>Подб_Роств!F17</f>
        <v>1.54</v>
      </c>
      <c r="M16" s="23">
        <f>0.9*1.2*0.6*J16</f>
        <v>6.48</v>
      </c>
      <c r="N16" s="23">
        <f>(2.1+3.3)/2*0.8*C16</f>
        <v>86.616000000000014</v>
      </c>
      <c r="O16" s="67">
        <f t="shared" si="0"/>
        <v>73.195999999999998</v>
      </c>
      <c r="P16" s="72">
        <f>Подб_Лотков!G19</f>
        <v>5.5650000000000013</v>
      </c>
      <c r="Q16" s="72">
        <f>Днище_Лотков!F19</f>
        <v>11.961000000000002</v>
      </c>
      <c r="R16" s="72">
        <f>Стены_Лотков!J24</f>
        <v>10.174800000000001</v>
      </c>
    </row>
    <row r="17" spans="1:18" ht="15" thickBot="1" x14ac:dyDescent="0.35">
      <c r="A17" s="132"/>
      <c r="B17" s="2" t="s">
        <v>22</v>
      </c>
      <c r="C17" s="2">
        <v>18.7</v>
      </c>
      <c r="D17" s="38" t="s">
        <v>6</v>
      </c>
      <c r="E17" s="39">
        <f>(2.948+2.733)/2-0.34</f>
        <v>2.5005000000000002</v>
      </c>
      <c r="F17" s="39" t="s">
        <v>12</v>
      </c>
      <c r="G17" s="39">
        <f>(5.5+2.5)/2*E17</f>
        <v>10.002000000000001</v>
      </c>
      <c r="H17" s="42">
        <f>G17*C17</f>
        <v>187.03740000000002</v>
      </c>
      <c r="I17" s="20"/>
      <c r="J17" s="43">
        <v>5</v>
      </c>
      <c r="K17" s="24">
        <f>Щебень!F20</f>
        <v>2.7000000000000006</v>
      </c>
      <c r="L17" s="24">
        <f>Подб_Роств!F18</f>
        <v>0.77</v>
      </c>
      <c r="M17" s="23">
        <f>1.2*1.25*0.6*J17</f>
        <v>4.5</v>
      </c>
      <c r="N17" s="23">
        <f>(2.1+3.3)/2*0.8*C17</f>
        <v>40.392000000000003</v>
      </c>
      <c r="O17" s="68">
        <f t="shared" si="0"/>
        <v>32.421999999999997</v>
      </c>
      <c r="P17" s="72">
        <f>Подб_Лотков!G20</f>
        <v>2.2650000000000001</v>
      </c>
      <c r="Q17" s="72">
        <f>Днище_Лотков!F20</f>
        <v>5.0490000000000004</v>
      </c>
      <c r="R17" s="72">
        <f>Стены_Лотков!J25+Стены_Лотков!J26</f>
        <v>14.833775000000003</v>
      </c>
    </row>
    <row r="18" spans="1:18" ht="15" thickBot="1" x14ac:dyDescent="0.35">
      <c r="A18" s="19"/>
      <c r="B18" s="19"/>
      <c r="C18" s="19"/>
      <c r="D18" s="19"/>
      <c r="E18" s="19"/>
      <c r="F18" s="19"/>
      <c r="G18" s="25"/>
      <c r="H18" s="26">
        <f>SUM(H14:H17)</f>
        <v>1218.6880000000001</v>
      </c>
      <c r="I18" s="27"/>
      <c r="J18" s="35">
        <f>SUM(J14:J17)</f>
        <v>38</v>
      </c>
      <c r="K18" s="26">
        <f t="shared" ref="K18:R18" si="3">SUM(K14:K17)</f>
        <v>20.520000000000003</v>
      </c>
      <c r="L18" s="26">
        <f t="shared" si="3"/>
        <v>5.8520000000000003</v>
      </c>
      <c r="M18" s="26">
        <f t="shared" si="3"/>
        <v>25.884</v>
      </c>
      <c r="N18" s="26">
        <f t="shared" si="3"/>
        <v>325.94400000000002</v>
      </c>
      <c r="O18" s="69">
        <f t="shared" si="3"/>
        <v>273.68799999999999</v>
      </c>
      <c r="P18" s="69">
        <f t="shared" si="3"/>
        <v>19.161000000000001</v>
      </c>
      <c r="Q18" s="69">
        <f t="shared" si="3"/>
        <v>41.877000000000002</v>
      </c>
      <c r="R18" s="69">
        <f t="shared" si="3"/>
        <v>56.931795000000008</v>
      </c>
    </row>
    <row r="19" spans="1:18" x14ac:dyDescent="0.3">
      <c r="A19" s="31"/>
      <c r="B19" s="29"/>
      <c r="C19" s="31"/>
      <c r="D19" s="31"/>
      <c r="E19" s="31"/>
      <c r="F19" s="31"/>
      <c r="G19" s="31"/>
      <c r="H19" s="32"/>
      <c r="I19" s="33"/>
      <c r="J19" s="32"/>
      <c r="K19" s="32"/>
      <c r="L19" s="32"/>
      <c r="M19" s="32"/>
      <c r="N19" s="32"/>
      <c r="O19" s="32"/>
      <c r="P19" s="72"/>
      <c r="Q19" s="72"/>
      <c r="R19" s="72"/>
    </row>
    <row r="20" spans="1:18" x14ac:dyDescent="0.3">
      <c r="A20" s="132">
        <v>4</v>
      </c>
      <c r="B20" s="2" t="s">
        <v>5</v>
      </c>
      <c r="C20" s="2">
        <v>61.5</v>
      </c>
      <c r="D20" s="38" t="s">
        <v>6</v>
      </c>
      <c r="E20" s="39">
        <f>(2.919+2.109)/2-0.34</f>
        <v>2.1740000000000004</v>
      </c>
      <c r="F20" s="39" t="s">
        <v>12</v>
      </c>
      <c r="G20" s="39">
        <f>(5.5+2.5)/2*E20</f>
        <v>8.6960000000000015</v>
      </c>
      <c r="H20" s="40">
        <f>G20*C20</f>
        <v>534.80400000000009</v>
      </c>
      <c r="I20" s="20"/>
      <c r="J20" s="41">
        <v>16</v>
      </c>
      <c r="K20" s="23">
        <f>Щебень!F25</f>
        <v>8.6400000000000023</v>
      </c>
      <c r="L20" s="23">
        <f>Подб_Роств!F22</f>
        <v>2.464</v>
      </c>
      <c r="M20" s="23">
        <f>0.9*1.2*0.6*J20</f>
        <v>10.368</v>
      </c>
      <c r="N20" s="23">
        <f>(2.1+3.3)/2*0.8*C20</f>
        <v>132.84</v>
      </c>
      <c r="O20" s="67">
        <f t="shared" si="0"/>
        <v>111.36800000000001</v>
      </c>
      <c r="P20" s="72">
        <f>Подб_Лотков!G25</f>
        <v>7.4969999999999999</v>
      </c>
      <c r="Q20" s="72">
        <f>Днище_Лотков!F25</f>
        <v>16.605</v>
      </c>
      <c r="R20" s="72">
        <f>Стены_Лотков!J32+Стены_Лотков!J33+Стены_Лотков!J34</f>
        <v>17.289180000000002</v>
      </c>
    </row>
    <row r="21" spans="1:18" x14ac:dyDescent="0.3">
      <c r="A21" s="132"/>
      <c r="B21" s="2" t="s">
        <v>13</v>
      </c>
      <c r="C21" s="2">
        <v>25.3</v>
      </c>
      <c r="D21" s="38" t="s">
        <v>6</v>
      </c>
      <c r="E21" s="39">
        <f>(2.59+1.958)/2-0.34</f>
        <v>1.9339999999999999</v>
      </c>
      <c r="F21" s="39" t="s">
        <v>12</v>
      </c>
      <c r="G21" s="39">
        <f>(5.5+2.5)/2*E21</f>
        <v>7.7359999999999998</v>
      </c>
      <c r="H21" s="40">
        <f>G21*C21</f>
        <v>195.7208</v>
      </c>
      <c r="I21" s="20"/>
      <c r="J21" s="41">
        <v>6</v>
      </c>
      <c r="K21" s="23">
        <f>Щебень!F26</f>
        <v>3.2400000000000011</v>
      </c>
      <c r="L21" s="23">
        <f>Подб_Роств!F23</f>
        <v>0.92399999999999993</v>
      </c>
      <c r="M21" s="23">
        <f>0.9*1.2*0.6*J21</f>
        <v>3.8879999999999999</v>
      </c>
      <c r="N21" s="23">
        <f>(2.1+3.3)/2*0.8*C21</f>
        <v>54.648000000000003</v>
      </c>
      <c r="O21" s="67">
        <f t="shared" si="0"/>
        <v>46.596000000000004</v>
      </c>
      <c r="P21" s="72">
        <f>Подб_Лотков!G26</f>
        <v>3.1470000000000002</v>
      </c>
      <c r="Q21" s="72">
        <f>Днище_Лотков!F26</f>
        <v>6.8310000000000004</v>
      </c>
      <c r="R21" s="72">
        <f>Стены_Лотков!J35</f>
        <v>3.7292200000000011</v>
      </c>
    </row>
    <row r="22" spans="1:18" ht="15" thickBot="1" x14ac:dyDescent="0.35">
      <c r="A22" s="132"/>
      <c r="B22" s="2" t="s">
        <v>21</v>
      </c>
      <c r="C22" s="2">
        <v>5.9</v>
      </c>
      <c r="D22" s="38" t="s">
        <v>6</v>
      </c>
      <c r="E22" s="39">
        <f>(1.733+1.658)/2-0.34</f>
        <v>1.3554999999999999</v>
      </c>
      <c r="F22" s="39" t="s">
        <v>12</v>
      </c>
      <c r="G22" s="39">
        <f>(5.5+2.5)/2*E22</f>
        <v>5.4219999999999997</v>
      </c>
      <c r="H22" s="42">
        <f>G22*C22</f>
        <v>31.989799999999999</v>
      </c>
      <c r="I22" s="20"/>
      <c r="J22" s="43">
        <v>1</v>
      </c>
      <c r="K22" s="24">
        <f>Щебень!F27</f>
        <v>0.54000000000000015</v>
      </c>
      <c r="L22" s="24">
        <f>Подб_Роств!F24</f>
        <v>0.154</v>
      </c>
      <c r="M22" s="23">
        <f>0.9*1.2*0.6*J22</f>
        <v>0.64800000000000002</v>
      </c>
      <c r="N22" s="23">
        <f>(2.1+3.3)/2*0.8*C22</f>
        <v>12.744000000000002</v>
      </c>
      <c r="O22" s="68">
        <f t="shared" si="0"/>
        <v>11.402000000000001</v>
      </c>
      <c r="P22" s="72">
        <f>Подб_Лотков!G27</f>
        <v>0.77700000000000014</v>
      </c>
      <c r="Q22" s="72">
        <f>Днище_Лотков!F27</f>
        <v>1.5930000000000002</v>
      </c>
      <c r="R22" s="72">
        <f>Стены_Лотков!J36</f>
        <v>0</v>
      </c>
    </row>
    <row r="23" spans="1:18" ht="15" thickBot="1" x14ac:dyDescent="0.35">
      <c r="A23" s="33"/>
      <c r="B23" s="33"/>
      <c r="C23" s="33"/>
      <c r="D23" s="33"/>
      <c r="E23" s="33"/>
      <c r="F23" s="33"/>
      <c r="G23" s="33"/>
      <c r="H23" s="26">
        <f>SUM(H20:H22)</f>
        <v>762.51460000000009</v>
      </c>
      <c r="I23" s="33"/>
      <c r="J23" s="35">
        <f>SUM(J20:J22)</f>
        <v>23</v>
      </c>
      <c r="K23" s="26">
        <f t="shared" ref="K23:R23" si="4">SUM(K20:K22)</f>
        <v>12.420000000000003</v>
      </c>
      <c r="L23" s="26">
        <f t="shared" si="4"/>
        <v>3.5419999999999998</v>
      </c>
      <c r="M23" s="26">
        <f t="shared" si="4"/>
        <v>14.904</v>
      </c>
      <c r="N23" s="26">
        <f t="shared" si="4"/>
        <v>200.232</v>
      </c>
      <c r="O23" s="69">
        <f t="shared" si="4"/>
        <v>169.36599999999999</v>
      </c>
      <c r="P23" s="69">
        <f t="shared" si="4"/>
        <v>11.420999999999999</v>
      </c>
      <c r="Q23" s="69">
        <f t="shared" si="4"/>
        <v>25.029</v>
      </c>
      <c r="R23" s="69">
        <f t="shared" si="4"/>
        <v>21.018400000000003</v>
      </c>
    </row>
    <row r="24" spans="1:18" ht="15" thickBot="1" x14ac:dyDescent="0.35">
      <c r="A24" s="33"/>
      <c r="B24" s="33"/>
      <c r="C24" s="33"/>
      <c r="D24" s="33"/>
      <c r="E24" s="33"/>
      <c r="F24" s="33"/>
      <c r="G24" s="33"/>
      <c r="H24" s="32"/>
      <c r="I24" s="33"/>
      <c r="J24" s="32"/>
      <c r="K24" s="32"/>
      <c r="L24" s="32"/>
      <c r="M24" s="32"/>
      <c r="N24" s="32"/>
      <c r="O24" s="32"/>
      <c r="P24" s="72"/>
      <c r="Q24" s="72"/>
      <c r="R24" s="72"/>
    </row>
    <row r="25" spans="1:18" ht="15" thickBot="1" x14ac:dyDescent="0.35">
      <c r="A25" s="33"/>
      <c r="B25" s="33"/>
      <c r="C25" s="33"/>
      <c r="D25" s="33"/>
      <c r="E25" s="148" t="s">
        <v>55</v>
      </c>
      <c r="F25" s="149"/>
      <c r="G25" s="150"/>
      <c r="H25" s="45">
        <f>H7+H12+H18+H23</f>
        <v>3917.3618000000001</v>
      </c>
      <c r="I25" s="33"/>
      <c r="J25" s="34">
        <f t="shared" ref="J25:R25" si="5">J7+J12+J18+J23</f>
        <v>140</v>
      </c>
      <c r="K25" s="36">
        <f t="shared" si="5"/>
        <v>76.140000000000015</v>
      </c>
      <c r="L25" s="76">
        <f t="shared" si="5"/>
        <v>21.713999999999999</v>
      </c>
      <c r="M25" s="78">
        <f t="shared" si="5"/>
        <v>91.97999999999999</v>
      </c>
      <c r="N25" s="36">
        <f t="shared" si="5"/>
        <v>1118.0160000000001</v>
      </c>
      <c r="O25" s="70">
        <f t="shared" si="5"/>
        <v>928.1819999999999</v>
      </c>
      <c r="P25" s="77">
        <f t="shared" si="5"/>
        <v>67.301999999999992</v>
      </c>
      <c r="Q25" s="79">
        <f t="shared" si="5"/>
        <v>148.554</v>
      </c>
      <c r="R25" s="79">
        <f t="shared" si="5"/>
        <v>151.121475</v>
      </c>
    </row>
    <row r="28" spans="1:18" x14ac:dyDescent="0.3">
      <c r="N28" s="80" t="s">
        <v>94</v>
      </c>
      <c r="O28" s="81">
        <f>L25+P25</f>
        <v>89.015999999999991</v>
      </c>
    </row>
    <row r="29" spans="1:18" x14ac:dyDescent="0.3">
      <c r="N29" s="82" t="s">
        <v>95</v>
      </c>
      <c r="O29" s="83">
        <f>M25+Q25+R25</f>
        <v>391.65547500000002</v>
      </c>
    </row>
    <row r="30" spans="1:18" x14ac:dyDescent="0.3">
      <c r="O30" s="84">
        <f>SUM(O28:O29)</f>
        <v>480.67147499999999</v>
      </c>
    </row>
  </sheetData>
  <mergeCells count="11">
    <mergeCell ref="B1:M1"/>
    <mergeCell ref="E25:G25"/>
    <mergeCell ref="A20:A22"/>
    <mergeCell ref="N2:O2"/>
    <mergeCell ref="A5:A6"/>
    <mergeCell ref="A9:A11"/>
    <mergeCell ref="A14:A17"/>
    <mergeCell ref="D3:E3"/>
    <mergeCell ref="F3:G3"/>
    <mergeCell ref="D4:E4"/>
    <mergeCell ref="F4:G4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Грунт</vt:lpstr>
      <vt:lpstr>Щебень</vt:lpstr>
      <vt:lpstr>Подб_Роств</vt:lpstr>
      <vt:lpstr>Ростверки</vt:lpstr>
      <vt:lpstr>Обр_Засып_Роств</vt:lpstr>
      <vt:lpstr>Подб_Лотков</vt:lpstr>
      <vt:lpstr>Днище_Лотков</vt:lpstr>
      <vt:lpstr>Шпонка_Днища</vt:lpstr>
      <vt:lpstr>Стены_Лотков</vt:lpstr>
      <vt:lpstr>Шпонка_Стен</vt:lpstr>
      <vt:lpstr>Сводная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2021-02-18T08:32:14Z</dcterms:modified>
</cp:coreProperties>
</file>